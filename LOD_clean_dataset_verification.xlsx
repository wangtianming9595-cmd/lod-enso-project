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" sheetId="1" state="visible" r:id="rId3"/>
    <sheet name="Band_Summary" sheetId="2" state="visible" r:id="rId4"/>
    <sheet name="Band_TimeSeries" sheetId="3" state="visible" r:id="rId5"/>
    <sheet name="A2_Index" sheetId="4" state="visible" r:id="rId6"/>
    <sheet name="Key_Stats" sheetId="5" state="visible" r:id="rId7"/>
    <sheet name="Corrupted_vs_Clea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<sst xmlns="http://schemas.openxmlformats.org/spreadsheetml/2006/main" count="197" uniqueCount="141">
  <si>
    <t xml:space="preserve">Clean LOD Pipeline: Data, Bands, and A2 Precursor Index</t>
  </si>
  <si>
    <t xml:space="preserve">Purpose</t>
  </si>
  <si>
    <t xml:space="preserve">This workbook documents the clean length-of-day (LOD) dataset for the LOD-ENSO study, rebuilt after correction of</t>
  </si>
  <si>
    <t xml:space="preserve">a computational error that had inflated the 0.5-1 yr band amplitude by roughly 2.7x. Everything here is re-derivable.</t>
  </si>
  <si>
    <t xml:space="preserve">Source data</t>
  </si>
  <si>
    <t xml:space="preserve">Raw daily LOD: IERS EOP 20 C04 series, file EOP_20u24_C04_...1962-now26may.txt, LOD column (s), converted to ms.</t>
  </si>
  <si>
    <t xml:space="preserve">Daily values averaged to monthly means (months with &lt; 20 valid days dropped). Band window: 1963 to 2022 (720 months).</t>
  </si>
  <si>
    <t xml:space="preserve">The same monthly series extended to 2026-04 is used only to compute the 2026 forecast value of A2.</t>
  </si>
  <si>
    <t xml:space="preserve">Processing pipeline</t>
  </si>
  <si>
    <t xml:space="preserve">Step 1.  Monthly-mean LOD (ms); subtract the series mean.</t>
  </si>
  <si>
    <t xml:space="preserve">Step 2.  Remove six zonal-tidal / seasonal harmonics by least-squares sine+cosine fit at periods</t>
  </si>
  <si>
    <t xml:space="preserve">             1.000 yr (Sa), 0.500 yr (Ssa), 0.333 yr, 0.250 yr, 18.613 yr, 9.307 yr  -&gt;  DeTided_DeSeasonalized_ms.</t>
  </si>
  <si>
    <t xml:space="preserve">             Removing the annual (Sa) and semi-annual (Ssa) terms is essential: leaving them in inflates the</t>
  </si>
  <si>
    <t xml:space="preserve">             0.5-1 yr band sigma from 0.064 to 0.173 ms. That omission was the original error (see Corrupted_vs_Clean).</t>
  </si>
  <si>
    <t xml:space="preserve">Step 3.  Extend both ends by 72 months with an AR(15) model to control filter edge effects.</t>
  </si>
  <si>
    <t xml:space="preserve">Step 4.  4th-order zero-phase Butterworth band-pass into: 0-0.5, 0.5-1, 1-1.5, 1.5-2, 2-10 yr; secular = rest.</t>
  </si>
  <si>
    <t xml:space="preserve">A2 precursor index</t>
  </si>
  <si>
    <t xml:space="preserve">A2(Y) = [0.5-1 yr band, March of Y-1] minus [0.5-1 yr band, July of Y-1].  Negative A2 leans El Nino.</t>
  </si>
  <si>
    <t xml:space="preserve">On A2_Index, A2 is an Excel formula (SUMIFS from Band_TimeSeries) so it recomputes if the band series is edited.</t>
  </si>
  <si>
    <t xml:space="preserve">Sheets</t>
  </si>
  <si>
    <t xml:space="preserve">Band_Summary       five-band sigma / variance table (live formulas).</t>
  </si>
  <si>
    <t xml:space="preserve">Band_TimeSeries    720 monthly rows: raw LOD, de-tided series, five bands, secular.</t>
  </si>
  <si>
    <t xml:space="preserve">A2_Index           A2 for 1964-2022 (formula) plus the 2026 forecast with its phase-drift robustness.</t>
  </si>
  <si>
    <t xml:space="preserve">Key_Stats          main chain correlations (against external SLP / wind / SST data).</t>
  </si>
  <si>
    <t xml:space="preserve">Corrupted_vs_Clean what the correction changed, side by side.</t>
  </si>
  <si>
    <t xml:space="preserve">Band</t>
  </si>
  <si>
    <t xml:space="preserve">Period range</t>
  </si>
  <si>
    <t xml:space="preserve">Column</t>
  </si>
  <si>
    <t xml:space="preserve">Sigma (ms)</t>
  </si>
  <si>
    <t xml:space="preserve">Variance share (%)</t>
  </si>
  <si>
    <t xml:space="preserve">(i) High-pass</t>
  </si>
  <si>
    <t xml:space="preserve">0 to 0.5 yr</t>
  </si>
  <si>
    <t xml:space="preserve">F</t>
  </si>
  <si>
    <t xml:space="preserve">(ii) Sub-annual</t>
  </si>
  <si>
    <t xml:space="preserve">0.5 to 1 yr</t>
  </si>
  <si>
    <t xml:space="preserve">G</t>
  </si>
  <si>
    <t xml:space="preserve">(iii) Transition</t>
  </si>
  <si>
    <t xml:space="preserve">1 to 1.5 yr</t>
  </si>
  <si>
    <t xml:space="preserve">H</t>
  </si>
  <si>
    <t xml:space="preserve">(iv) Quasi-biennial</t>
  </si>
  <si>
    <t xml:space="preserve">1.5 to 2 yr</t>
  </si>
  <si>
    <t xml:space="preserve">I</t>
  </si>
  <si>
    <t xml:space="preserve">(v) ENSO-band</t>
  </si>
  <si>
    <t xml:space="preserve">2 to 10 yr</t>
  </si>
  <si>
    <t xml:space="preserve">J</t>
  </si>
  <si>
    <t xml:space="preserve">Secular (residual)</t>
  </si>
  <si>
    <t xml:space="preserve">&gt; 10 yr</t>
  </si>
  <si>
    <t xml:space="preserve">K</t>
  </si>
  <si>
    <t xml:space="preserve">De-tided total</t>
  </si>
  <si>
    <t xml:space="preserve">E</t>
  </si>
  <si>
    <t xml:space="preserve">Live formulas over the 720 monthly values. Clean 0.5-1 yr sigma = 0.064 ms.</t>
  </si>
  <si>
    <t xml:space="preserve">Year</t>
  </si>
  <si>
    <t xml:space="preserve">Month</t>
  </si>
  <si>
    <t xml:space="preserve">Raw_LOD_ms</t>
  </si>
  <si>
    <t xml:space="preserve">Tidal_seasonal_fit_ms</t>
  </si>
  <si>
    <t xml:space="preserve">DeTided_DeSeasonalized_ms</t>
  </si>
  <si>
    <t xml:space="preserve">B0_0.5yr</t>
  </si>
  <si>
    <t xml:space="preserve">B0.5_1yr</t>
  </si>
  <si>
    <t xml:space="preserve">B1_1.5yr</t>
  </si>
  <si>
    <t xml:space="preserve">B1.5_2yr</t>
  </si>
  <si>
    <t xml:space="preserve">B2_10yr</t>
  </si>
  <si>
    <t xml:space="preserve">Secular_gt10yr</t>
  </si>
  <si>
    <t xml:space="preserve">Event Year</t>
  </si>
  <si>
    <t xml:space="preserve">Band 0.5-1yr Y-1 Mar (ms)</t>
  </si>
  <si>
    <t xml:space="preserve">Band 0.5-1yr Y-1 Jul (ms)</t>
  </si>
  <si>
    <t xml:space="preserve">A2 = Mar - Jul (ms)</t>
  </si>
  <si>
    <t xml:space="preserve">ENSO type</t>
  </si>
  <si>
    <t xml:space="preserve">La Nina</t>
  </si>
  <si>
    <t xml:space="preserve">El Nino</t>
  </si>
  <si>
    <t xml:space="preserve">neutral</t>
  </si>
  <si>
    <t xml:space="preserve">forecast</t>
  </si>
  <si>
    <t xml:space="preserve">2026 forecast note:</t>
  </si>
  <si>
    <t xml:space="preserve">A2(2026) = -0.060 ms, from 2025 March (-0.044) and July (+0.016) of the extended (post-2022) band series.</t>
  </si>
  <si>
    <t xml:space="preserve">The value is negative for all nine +/-1-month window choices (range -0.067 to -0.013): the phase leans El Nino and is</t>
  </si>
  <si>
    <t xml:space="preserve">robust to phase drift, but the amplitude is small (low-confidence tercile), so the phase is the reliable part, not the intensity.</t>
  </si>
  <si>
    <t xml:space="preserve">Key chain correlations (clean data, n = 59, 1964-2022)</t>
  </si>
  <si>
    <t xml:space="preserve">Relationship</t>
  </si>
  <si>
    <t xml:space="preserve">r</t>
  </si>
  <si>
    <t xml:space="preserve">P</t>
  </si>
  <si>
    <t xml:space="preserve">Note</t>
  </si>
  <si>
    <t xml:space="preserve">A2 -&gt; SLP_R2 (Y0 May)</t>
  </si>
  <si>
    <t xml:space="preserve">NH ridge, boreal late spring; robust channel</t>
  </si>
  <si>
    <t xml:space="preserve">A2 -&gt; SLP_R2+R5 (Y0 May)</t>
  </si>
  <si>
    <t xml:space="preserve">combined EPSH</t>
  </si>
  <si>
    <t xml:space="preserve">A2 -&gt; SLP_R2+R5 (Y-1 Dec)</t>
  </si>
  <si>
    <t xml:space="preserve">SH-led; most robust link (survives drop-3)</t>
  </si>
  <si>
    <t xml:space="preserve">A2 -&gt; SLP_R5 (Y0 May)</t>
  </si>
  <si>
    <t xml:space="preserve">weak in May; R5 peaks in Y-1 Nov-Dec</t>
  </si>
  <si>
    <t xml:space="preserve">A2 -&gt; U_R1a (Y0 Jun)</t>
  </si>
  <si>
    <t xml:space="preserve">equatorial zonal wind</t>
  </si>
  <si>
    <t xml:space="preserve">A2 -&gt; NINO3 (Y0 SON)</t>
  </si>
  <si>
    <t xml:space="preserve">ocean endpoint, autumn</t>
  </si>
  <si>
    <t xml:space="preserve">A2 -&gt; NINO3 (Y0 DJF)</t>
  </si>
  <si>
    <t xml:space="preserve">ocean endpoint, winter</t>
  </si>
  <si>
    <t xml:space="preserve">SLP_R2+R5 (May) -&gt; U_R1a (Jun)</t>
  </si>
  <si>
    <t xml:space="preserve">EPSH to wind</t>
  </si>
  <si>
    <t xml:space="preserve">U_R1a (Jun) -&gt; SST3a (SON)</t>
  </si>
  <si>
    <t xml:space="preserve">wind to ocean (Bjerknes)</t>
  </si>
  <si>
    <t xml:space="preserve">A2 vs prior-winter NINO3</t>
  </si>
  <si>
    <t xml:space="preserve">phase hand-off; not amplitude coherence</t>
  </si>
  <si>
    <t xml:space="preserve">Significance by phase-randomized Monte Carlo (5000 surrogates): effective DOF ~ 42-55;</t>
  </si>
  <si>
    <t xml:space="preserve">empirical 95% threshold |r| ~ 0.27-0.30; SLP field significance p = 0.009.</t>
  </si>
  <si>
    <t xml:space="preserve">These use external SLP / wind / SST data and are listed for reference (not recomputed in this workbook).</t>
  </si>
  <si>
    <t xml:space="preserve">What the correction changed</t>
  </si>
  <si>
    <t xml:space="preserve">Quantity</t>
  </si>
  <si>
    <t xml:space="preserve">Corrupted (old)</t>
  </si>
  <si>
    <t xml:space="preserve">Clean (corrected)</t>
  </si>
  <si>
    <t xml:space="preserve">Cause / note</t>
  </si>
  <si>
    <t xml:space="preserve">0.5-1 yr band sigma (ms)</t>
  </si>
  <si>
    <t xml:space="preserve">0.173</t>
  </si>
  <si>
    <t xml:space="preserve">0.064</t>
  </si>
  <si>
    <t xml:space="preserve">Sa/Ssa harmonics not removed -&gt; seasonal leakage (x2.7)</t>
  </si>
  <si>
    <t xml:space="preserve">A2 range (ms)</t>
  </si>
  <si>
    <t xml:space="preserve">-0.61 to +0.71</t>
  </si>
  <si>
    <t xml:space="preserve">-0.26 to +0.41</t>
  </si>
  <si>
    <t xml:space="preserve">follows directly from the inflated band</t>
  </si>
  <si>
    <t xml:space="preserve">A2 for 1997 (ms)</t>
  </si>
  <si>
    <t xml:space="preserve">-0.61</t>
  </si>
  <si>
    <t xml:space="preserve">-0.25</t>
  </si>
  <si>
    <t xml:space="preserve">no longer the record extreme (2001 is more negative)</t>
  </si>
  <si>
    <t xml:space="preserve">A2 -&gt; SLP_R2+R5 (May)</t>
  </si>
  <si>
    <t xml:space="preserve">+0.40 (P=0.0016)</t>
  </si>
  <si>
    <t xml:space="preserve">+0.36 (P=0.005)</t>
  </si>
  <si>
    <t xml:space="preserve">modest reduction; still significant</t>
  </si>
  <si>
    <t xml:space="preserve">A2 -&gt; NINO3 (DJF)</t>
  </si>
  <si>
    <t xml:space="preserve">-0.21 (P=0.12, ns)</t>
  </si>
  <si>
    <t xml:space="preserve">-0.33 (P=0.010)</t>
  </si>
  <si>
    <t xml:space="preserve">now significant after correction</t>
  </si>
  <si>
    <t xml:space="preserve">Mediation proportion</t>
  </si>
  <si>
    <t xml:space="preserve">93.8%</t>
  </si>
  <si>
    <t xml:space="preserve">~55%</t>
  </si>
  <si>
    <t xml:space="preserve">old total effect was corrupted-small; now substantial partial</t>
  </si>
  <si>
    <t xml:space="preserve">Prediction lead framing</t>
  </si>
  <si>
    <t xml:space="preserve">10 to 14 months</t>
  </si>
  <si>
    <t xml:space="preserve">10 months (SST 14-17)</t>
  </si>
  <si>
    <t xml:space="preserve">10 mo to EPSH; SST response later</t>
  </si>
  <si>
    <t xml:space="preserve">Dominant period</t>
  </si>
  <si>
    <t xml:space="preserve">~9.6 months</t>
  </si>
  <si>
    <t xml:space="preserve">~9-10 months</t>
  </si>
  <si>
    <t xml:space="preserve">spectral peak, not relied upon for significance</t>
  </si>
  <si>
    <t xml:space="preserve">The uploaded LOD_5bands_timeseries.xlsx contains the corrupted 0.5-1 yr band (sigma 0.173) and should not be used.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</si>
</sst>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Consolas"/>
      <family val="0"/>
      <charset val="1"/>
    </font>
    <font>
      <b val="true"/>
      <sz val="9"/>
      <name val="Arial"/>
      <family val="0"/>
      <charset val="1"/>
    </font>
    <font>
      <sz val="10"/>
      <color rgb="FFB00000"/>
      <name val="Arial"/>
      <family val="0"/>
      <charset val="1"/>
    </font>
    <font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1EEF6"/>
        <bgColor rgb="FFCCFFFF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61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1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3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/>
    </row>
    <row r="26" customFormat="false" ht="15" hidden="false" customHeight="false" outlineLevel="0" collapsed="false">
      <c r="B26" s="2" t="s">
        <v>19</v>
      </c>
    </row>
    <row r="27" customFormat="false" ht="15" hidden="false" customHeight="false" outlineLevel="0" collapsed="false">
      <c r="B27" s="3" t="s">
        <v>20</v>
      </c>
    </row>
    <row r="28" customFormat="false" ht="15" hidden="false" customHeight="false" outlineLevel="0" collapsed="false">
      <c r="B28" s="3" t="s">
        <v>21</v>
      </c>
    </row>
    <row r="29" customFormat="false" ht="15" hidden="false" customHeight="false" outlineLevel="0" collapsed="false">
      <c r="B29" s="3" t="s">
        <v>22</v>
      </c>
    </row>
    <row r="30" customFormat="false" ht="15" hidden="false" customHeight="false" outlineLevel="0" collapsed="false">
      <c r="B30" s="3" t="s">
        <v>23</v>
      </c>
    </row>
    <row r="31" customFormat="false" ht="15" hidden="false" customHeight="false" outlineLevel="0" collapsed="false">
      <c r="B31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customFormat="false" ht="15" hidden="false" customHeight="false" outlineLevel="0" collapsed="false">
      <c r="A2" s="5" t="s">
        <v>30</v>
      </c>
      <c r="B2" s="5" t="s">
        <v>31</v>
      </c>
      <c r="C2" s="5" t="s">
        <v>32</v>
      </c>
      <c r="D2" s="6" t="n">
        <f aca="false">STDEV(Band_TimeSeries!F2:F721)</f>
        <v>0.0861397567162887</v>
      </c>
      <c r="E2" s="7" t="n">
        <f aca="false">VAR(Band_TimeSeries!F2:F721)/VAR(Band_TimeSeries!E2:E721)*100</f>
        <v>1.05168988890403</v>
      </c>
    </row>
    <row r="3" customFormat="false" ht="15" hidden="false" customHeight="false" outlineLevel="0" collapsed="false">
      <c r="A3" s="5" t="s">
        <v>33</v>
      </c>
      <c r="B3" s="5" t="s">
        <v>34</v>
      </c>
      <c r="C3" s="5" t="s">
        <v>35</v>
      </c>
      <c r="D3" s="6" t="n">
        <f aca="false">STDEV(Band_TimeSeries!G2:G721)</f>
        <v>0.063635314940399</v>
      </c>
      <c r="E3" s="7" t="n">
        <f aca="false">VAR(Band_TimeSeries!G2:G721)/VAR(Band_TimeSeries!E2:E721)*100</f>
        <v>0.573953637386679</v>
      </c>
    </row>
    <row r="4" customFormat="false" ht="15" hidden="false" customHeight="false" outlineLevel="0" collapsed="false">
      <c r="A4" s="5" t="s">
        <v>36</v>
      </c>
      <c r="B4" s="5" t="s">
        <v>37</v>
      </c>
      <c r="C4" s="5" t="s">
        <v>38</v>
      </c>
      <c r="D4" s="6" t="n">
        <f aca="false">STDEV(Band_TimeSeries!H2:H721)</f>
        <v>0.0434984095645192</v>
      </c>
      <c r="E4" s="7" t="n">
        <f aca="false">VAR(Band_TimeSeries!H2:H721)/VAR(Band_TimeSeries!E2:E721)*100</f>
        <v>0.268180485750102</v>
      </c>
    </row>
    <row r="5" customFormat="false" ht="15" hidden="false" customHeight="false" outlineLevel="0" collapsed="false">
      <c r="A5" s="5" t="s">
        <v>39</v>
      </c>
      <c r="B5" s="5" t="s">
        <v>40</v>
      </c>
      <c r="C5" s="5" t="s">
        <v>41</v>
      </c>
      <c r="D5" s="6" t="n">
        <f aca="false">STDEV(Band_TimeSeries!I2:I721)</f>
        <v>0.0422344010447165</v>
      </c>
      <c r="E5" s="7" t="n">
        <f aca="false">VAR(Band_TimeSeries!I2:I721)/VAR(Band_TimeSeries!E2:E721)*100</f>
        <v>0.252820971553596</v>
      </c>
    </row>
    <row r="6" customFormat="false" ht="15" hidden="false" customHeight="false" outlineLevel="0" collapsed="false">
      <c r="A6" s="5" t="s">
        <v>42</v>
      </c>
      <c r="B6" s="5" t="s">
        <v>43</v>
      </c>
      <c r="C6" s="5" t="s">
        <v>44</v>
      </c>
      <c r="D6" s="6" t="n">
        <f aca="false">STDEV(Band_TimeSeries!J2:J721)</f>
        <v>0.150739843372761</v>
      </c>
      <c r="E6" s="7" t="n">
        <f aca="false">VAR(Band_TimeSeries!J2:J721)/VAR(Band_TimeSeries!E2:E721)*100</f>
        <v>3.2205981284651</v>
      </c>
    </row>
    <row r="7" customFormat="false" ht="15" hidden="false" customHeight="false" outlineLevel="0" collapsed="false">
      <c r="A7" s="5" t="s">
        <v>45</v>
      </c>
      <c r="B7" s="5" t="s">
        <v>46</v>
      </c>
      <c r="C7" s="5" t="s">
        <v>47</v>
      </c>
      <c r="D7" s="6" t="n">
        <f aca="false">STDEV(Band_TimeSeries!K2:K721)</f>
        <v>0.8025248253088</v>
      </c>
      <c r="E7" s="7" t="n">
        <f aca="false">VAR(Band_TimeSeries!K2:K721)/VAR(Band_TimeSeries!E2:E721)*100</f>
        <v>91.2845687874613</v>
      </c>
    </row>
    <row r="8" customFormat="false" ht="15" hidden="false" customHeight="false" outlineLevel="0" collapsed="false">
      <c r="A8" s="8" t="s">
        <v>48</v>
      </c>
      <c r="C8" s="9" t="s">
        <v>49</v>
      </c>
      <c r="D8" s="10" t="n">
        <f aca="false">STDEV(Band_TimeSeries!E2:E721)</f>
        <v>0.839962295154691</v>
      </c>
      <c r="E8" s="9" t="n">
        <v>100</v>
      </c>
    </row>
    <row r="10" customFormat="false" ht="15" hidden="false" customHeight="false" outlineLevel="0" collapsed="false">
      <c r="A10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2"/>
    <col collapsed="false" customWidth="true" hidden="false" outlineLevel="0" max="4" min="4" style="0" width="23"/>
    <col collapsed="false" customWidth="true" hidden="false" outlineLevel="0" max="5" min="5" style="0" width="27"/>
    <col collapsed="false" customWidth="true" hidden="false" outlineLevel="0" max="9" min="6" style="0" width="10"/>
    <col collapsed="false" customWidth="true" hidden="false" outlineLevel="0" max="10" min="10" style="0" width="9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</row>
    <row r="2" customFormat="false" ht="15" hidden="false" customHeight="false" outlineLevel="0" collapsed="false">
      <c r="A2" s="12" t="n">
        <v>1963</v>
      </c>
      <c r="B2" s="12" t="n">
        <v>1</v>
      </c>
      <c r="C2" s="13" t="n">
        <v>1.04925806451613</v>
      </c>
      <c r="D2" s="13" t="n">
        <v>1.33632701547344</v>
      </c>
      <c r="E2" s="13" t="n">
        <v>-0.287068950957315</v>
      </c>
      <c r="F2" s="13" t="n">
        <v>-0.038599617910702</v>
      </c>
      <c r="G2" s="13" t="n">
        <v>-0.0894259695302909</v>
      </c>
      <c r="H2" s="13" t="n">
        <v>-0.0615500711842187</v>
      </c>
      <c r="I2" s="13" t="n">
        <v>-0.0715199073690644</v>
      </c>
      <c r="J2" s="13" t="n">
        <v>-0.348436100298413</v>
      </c>
      <c r="K2" s="13" t="n">
        <v>0.322462715335373</v>
      </c>
    </row>
    <row r="3" customFormat="false" ht="15" hidden="false" customHeight="false" outlineLevel="0" collapsed="false">
      <c r="A3" s="12" t="n">
        <v>1963</v>
      </c>
      <c r="B3" s="12" t="n">
        <v>2</v>
      </c>
      <c r="C3" s="13" t="n">
        <v>1.22128571428571</v>
      </c>
      <c r="D3" s="13" t="n">
        <v>1.46661093046348</v>
      </c>
      <c r="E3" s="13" t="n">
        <v>-0.245325216177765</v>
      </c>
      <c r="F3" s="13" t="n">
        <v>-0.0752135588552504</v>
      </c>
      <c r="G3" s="13" t="n">
        <v>-0.0765355333256524</v>
      </c>
      <c r="H3" s="13" t="n">
        <v>-0.0598787819351068</v>
      </c>
      <c r="I3" s="13" t="n">
        <v>-0.0615621136683982</v>
      </c>
      <c r="J3" s="13" t="n">
        <v>-0.310339527575643</v>
      </c>
      <c r="K3" s="13" t="n">
        <v>0.338204299182286</v>
      </c>
    </row>
    <row r="4" customFormat="false" ht="15" hidden="false" customHeight="false" outlineLevel="0" collapsed="false">
      <c r="A4" s="12" t="n">
        <v>1963</v>
      </c>
      <c r="B4" s="12" t="n">
        <v>3</v>
      </c>
      <c r="C4" s="13" t="n">
        <v>1.63464516129032</v>
      </c>
      <c r="D4" s="13" t="n">
        <v>1.5969851628322</v>
      </c>
      <c r="E4" s="13" t="n">
        <v>0.037659998458127</v>
      </c>
      <c r="F4" s="13" t="n">
        <v>0.0610563807254366</v>
      </c>
      <c r="G4" s="13" t="n">
        <v>-0.0166539106455006</v>
      </c>
      <c r="H4" s="13" t="n">
        <v>-0.0476678018889903</v>
      </c>
      <c r="I4" s="13" t="n">
        <v>-0.0456793374409037</v>
      </c>
      <c r="J4" s="13" t="n">
        <v>-0.266604413185695</v>
      </c>
      <c r="K4" s="13" t="n">
        <v>0.35320908089378</v>
      </c>
    </row>
    <row r="5" customFormat="false" ht="15" hidden="false" customHeight="false" outlineLevel="0" collapsed="false">
      <c r="A5" s="12" t="n">
        <v>1963</v>
      </c>
      <c r="B5" s="12" t="n">
        <v>4</v>
      </c>
      <c r="C5" s="13" t="n">
        <v>1.81913333333333</v>
      </c>
      <c r="D5" s="13" t="n">
        <v>1.65208751879865</v>
      </c>
      <c r="E5" s="13" t="n">
        <v>0.167045814534687</v>
      </c>
      <c r="F5" s="13" t="n">
        <v>0.0198162108899118</v>
      </c>
      <c r="G5" s="13" t="n">
        <v>0.0491001578500891</v>
      </c>
      <c r="H5" s="13" t="n">
        <v>-0.0275560207973556</v>
      </c>
      <c r="I5" s="13" t="n">
        <v>-0.025381565798788</v>
      </c>
      <c r="J5" s="13" t="n">
        <v>-0.218494452915363</v>
      </c>
      <c r="K5" s="13" t="n">
        <v>0.369561485306193</v>
      </c>
    </row>
    <row r="6" customFormat="false" ht="15" hidden="false" customHeight="false" outlineLevel="0" collapsed="false">
      <c r="A6" s="12" t="n">
        <v>1963</v>
      </c>
      <c r="B6" s="12" t="n">
        <v>5</v>
      </c>
      <c r="C6" s="13" t="n">
        <v>1.63429032258065</v>
      </c>
      <c r="D6" s="13" t="n">
        <v>1.39276537265258</v>
      </c>
      <c r="E6" s="13" t="n">
        <v>0.241524949928062</v>
      </c>
      <c r="F6" s="13" t="n">
        <v>-0.0493528434914577</v>
      </c>
      <c r="G6" s="13" t="n">
        <v>0.0770094055342229</v>
      </c>
      <c r="H6" s="13" t="n">
        <v>-0.00362569488410912</v>
      </c>
      <c r="I6" s="13" t="n">
        <v>-0.00262602796022424</v>
      </c>
      <c r="J6" s="13" t="n">
        <v>-0.167448922306519</v>
      </c>
      <c r="K6" s="13" t="n">
        <v>0.387569033036149</v>
      </c>
    </row>
    <row r="7" customFormat="false" ht="15" hidden="false" customHeight="false" outlineLevel="0" collapsed="false">
      <c r="A7" s="12" t="n">
        <v>1963</v>
      </c>
      <c r="B7" s="12" t="n">
        <v>6</v>
      </c>
      <c r="C7" s="13" t="n">
        <v>1.29203333333333</v>
      </c>
      <c r="D7" s="13" t="n">
        <v>0.800762420694226</v>
      </c>
      <c r="E7" s="13" t="n">
        <v>0.491270912639108</v>
      </c>
      <c r="F7" s="13" t="n">
        <v>0.10582748360547</v>
      </c>
      <c r="G7" s="13" t="n">
        <v>0.0525700096793617</v>
      </c>
      <c r="H7" s="13" t="n">
        <v>0.0194912236752997</v>
      </c>
      <c r="I7" s="13" t="n">
        <v>0.0203762035614048</v>
      </c>
      <c r="J7" s="13" t="n">
        <v>-0.115008249149415</v>
      </c>
      <c r="K7" s="13" t="n">
        <v>0.408014241266986</v>
      </c>
    </row>
    <row r="8" customFormat="false" ht="15" hidden="false" customHeight="false" outlineLevel="0" collapsed="false">
      <c r="A8" s="12" t="n">
        <v>1963</v>
      </c>
      <c r="B8" s="12" t="n">
        <v>7</v>
      </c>
      <c r="C8" s="13" t="n">
        <v>0.816258064516129</v>
      </c>
      <c r="D8" s="13" t="n">
        <v>0.451907244924883</v>
      </c>
      <c r="E8" s="13" t="n">
        <v>0.364350819591246</v>
      </c>
      <c r="F8" s="13" t="n">
        <v>-0.0826286175380117</v>
      </c>
      <c r="G8" s="13" t="n">
        <v>-0.00120965732520157</v>
      </c>
      <c r="H8" s="13" t="n">
        <v>0.0375939765416585</v>
      </c>
      <c r="I8" s="13" t="n">
        <v>0.0413812146751502</v>
      </c>
      <c r="J8" s="13" t="n">
        <v>-0.0627331537952277</v>
      </c>
      <c r="K8" s="13" t="n">
        <v>0.431947057032878</v>
      </c>
    </row>
    <row r="9" customFormat="false" ht="15" hidden="false" customHeight="false" outlineLevel="0" collapsed="false">
      <c r="A9" s="12" t="n">
        <v>1963</v>
      </c>
      <c r="B9" s="12" t="n">
        <v>8</v>
      </c>
      <c r="C9" s="13" t="n">
        <v>1.12467741935484</v>
      </c>
      <c r="D9" s="13" t="n">
        <v>0.630464119240284</v>
      </c>
      <c r="E9" s="13" t="n">
        <v>0.494213300114554</v>
      </c>
      <c r="F9" s="13" t="n">
        <v>-0.0138520640670684</v>
      </c>
      <c r="G9" s="13" t="n">
        <v>-0.0440928527293284</v>
      </c>
      <c r="H9" s="13" t="n">
        <v>0.0477580098553982</v>
      </c>
      <c r="I9" s="13" t="n">
        <v>0.0583382427079821</v>
      </c>
      <c r="J9" s="13" t="n">
        <v>-0.0121230727539604</v>
      </c>
      <c r="K9" s="13" t="n">
        <v>0.458185037101531</v>
      </c>
    </row>
    <row r="10" customFormat="false" ht="15" hidden="false" customHeight="false" outlineLevel="0" collapsed="false">
      <c r="A10" s="12" t="n">
        <v>1963</v>
      </c>
      <c r="B10" s="12" t="n">
        <v>9</v>
      </c>
      <c r="C10" s="13" t="n">
        <v>1.58363333333333</v>
      </c>
      <c r="D10" s="13" t="n">
        <v>1.02751391066431</v>
      </c>
      <c r="E10" s="13" t="n">
        <v>0.556119422669022</v>
      </c>
      <c r="F10" s="13" t="n">
        <v>-0.030999567247401</v>
      </c>
      <c r="G10" s="13" t="n">
        <v>-0.049358920809468</v>
      </c>
      <c r="H10" s="13" t="n">
        <v>0.0488578819123374</v>
      </c>
      <c r="I10" s="13" t="n">
        <v>0.069597294168612</v>
      </c>
      <c r="J10" s="13" t="n">
        <v>0.0354605276078485</v>
      </c>
      <c r="K10" s="13" t="n">
        <v>0.482562207037093</v>
      </c>
    </row>
    <row r="11" customFormat="false" ht="15" hidden="false" customHeight="false" outlineLevel="0" collapsed="false">
      <c r="A11" s="12" t="n">
        <v>1963</v>
      </c>
      <c r="B11" s="12" t="n">
        <v>10</v>
      </c>
      <c r="C11" s="13" t="n">
        <v>2.13664516129032</v>
      </c>
      <c r="D11" s="13" t="n">
        <v>1.34684783164045</v>
      </c>
      <c r="E11" s="13" t="n">
        <v>0.78979732964987</v>
      </c>
      <c r="F11" s="13" t="n">
        <v>0.11348685962057</v>
      </c>
      <c r="G11" s="13" t="n">
        <v>-0.0203723129766172</v>
      </c>
      <c r="H11" s="13" t="n">
        <v>0.0416627427060144</v>
      </c>
      <c r="I11" s="13" t="n">
        <v>0.0740767341139574</v>
      </c>
      <c r="J11" s="13" t="n">
        <v>0.0788608794242835</v>
      </c>
      <c r="K11" s="13" t="n">
        <v>0.502082426761662</v>
      </c>
    </row>
    <row r="12" customFormat="false" ht="15" hidden="false" customHeight="false" outlineLevel="0" collapsed="false">
      <c r="A12" s="12" t="n">
        <v>1963</v>
      </c>
      <c r="B12" s="12" t="n">
        <v>11</v>
      </c>
      <c r="C12" s="13" t="n">
        <v>2.119</v>
      </c>
      <c r="D12" s="13" t="n">
        <v>1.39154970842088</v>
      </c>
      <c r="E12" s="13" t="n">
        <v>0.727450291579121</v>
      </c>
      <c r="F12" s="13" t="n">
        <v>-0.0262878986922556</v>
      </c>
      <c r="G12" s="13" t="n">
        <v>0.0173513314140069</v>
      </c>
      <c r="H12" s="13" t="n">
        <v>0.0285036764129617</v>
      </c>
      <c r="I12" s="13" t="n">
        <v>0.0713732196440896</v>
      </c>
      <c r="J12" s="13" t="n">
        <v>0.117178462204921</v>
      </c>
      <c r="K12" s="13" t="n">
        <v>0.519331500595398</v>
      </c>
    </row>
    <row r="13" customFormat="false" ht="15" hidden="false" customHeight="false" outlineLevel="0" collapsed="false">
      <c r="A13" s="12" t="n">
        <v>1963</v>
      </c>
      <c r="B13" s="12" t="n">
        <v>12</v>
      </c>
      <c r="C13" s="13" t="n">
        <v>1.87270967741936</v>
      </c>
      <c r="D13" s="13" t="n">
        <v>1.21266751595818</v>
      </c>
      <c r="E13" s="13" t="n">
        <v>0.660042161461173</v>
      </c>
      <c r="F13" s="13" t="n">
        <v>-0.141790495168952</v>
      </c>
      <c r="G13" s="13" t="n">
        <v>0.0381646349039223</v>
      </c>
      <c r="H13" s="13" t="n">
        <v>0.0126144661447618</v>
      </c>
      <c r="I13" s="13" t="n">
        <v>0.0618022807165915</v>
      </c>
      <c r="J13" s="13" t="n">
        <v>0.149806251199547</v>
      </c>
      <c r="K13" s="13" t="n">
        <v>0.539445023665302</v>
      </c>
    </row>
    <row r="14" customFormat="false" ht="15" hidden="false" customHeight="false" outlineLevel="0" collapsed="false">
      <c r="A14" s="12" t="n">
        <v>1964</v>
      </c>
      <c r="B14" s="12" t="n">
        <v>1</v>
      </c>
      <c r="C14" s="13" t="n">
        <v>2.17325806451613</v>
      </c>
      <c r="D14" s="13" t="n">
        <v>1.16375130271336</v>
      </c>
      <c r="E14" s="13" t="n">
        <v>1.00950676180277</v>
      </c>
      <c r="F14" s="13" t="n">
        <v>0.19288846097154</v>
      </c>
      <c r="G14" s="13" t="n">
        <v>0.0331025962080423</v>
      </c>
      <c r="H14" s="13" t="n">
        <v>-0.00267802140090507</v>
      </c>
      <c r="I14" s="13" t="n">
        <v>0.0463650696851684</v>
      </c>
      <c r="J14" s="13" t="n">
        <v>0.17644587232316</v>
      </c>
      <c r="K14" s="13" t="n">
        <v>0.563382784015762</v>
      </c>
    </row>
    <row r="15" customFormat="false" ht="15" hidden="false" customHeight="false" outlineLevel="0" collapsed="false">
      <c r="A15" s="12" t="n">
        <v>1964</v>
      </c>
      <c r="B15" s="12" t="n">
        <v>2</v>
      </c>
      <c r="C15" s="13" t="n">
        <v>2.00827586206897</v>
      </c>
      <c r="D15" s="13" t="n">
        <v>1.29945888827571</v>
      </c>
      <c r="E15" s="13" t="n">
        <v>0.708816973793254</v>
      </c>
      <c r="F15" s="13" t="n">
        <v>-0.0992833083827402</v>
      </c>
      <c r="G15" s="13" t="n">
        <v>0.0105748687017296</v>
      </c>
      <c r="H15" s="13" t="n">
        <v>-0.014708792379239</v>
      </c>
      <c r="I15" s="13" t="n">
        <v>0.0266445441544609</v>
      </c>
      <c r="J15" s="13" t="n">
        <v>0.197104336489756</v>
      </c>
      <c r="K15" s="13" t="n">
        <v>0.588485325209287</v>
      </c>
    </row>
    <row r="16" customFormat="false" ht="15" hidden="false" customHeight="false" outlineLevel="0" collapsed="false">
      <c r="A16" s="12" t="n">
        <v>1964</v>
      </c>
      <c r="B16" s="12" t="n">
        <v>3</v>
      </c>
      <c r="C16" s="13" t="n">
        <v>2.28806451612903</v>
      </c>
      <c r="D16" s="13" t="n">
        <v>1.43553759836998</v>
      </c>
      <c r="E16" s="13" t="n">
        <v>0.852526917759052</v>
      </c>
      <c r="F16" s="13" t="n">
        <v>0.0582822768959836</v>
      </c>
      <c r="G16" s="13" t="n">
        <v>-0.0146875718073448</v>
      </c>
      <c r="H16" s="13" t="n">
        <v>-0.0219934079482114</v>
      </c>
      <c r="I16" s="13" t="n">
        <v>0.00464178980003877</v>
      </c>
      <c r="J16" s="13" t="n">
        <v>0.212072485780018</v>
      </c>
      <c r="K16" s="13" t="n">
        <v>0.614211345038568</v>
      </c>
    </row>
    <row r="17" customFormat="false" ht="15" hidden="false" customHeight="false" outlineLevel="0" collapsed="false">
      <c r="A17" s="12" t="n">
        <v>1964</v>
      </c>
      <c r="B17" s="12" t="n">
        <v>4</v>
      </c>
      <c r="C17" s="13" t="n">
        <v>2.1349</v>
      </c>
      <c r="D17" s="13" t="n">
        <v>1.49661537974802</v>
      </c>
      <c r="E17" s="13" t="n">
        <v>0.638284620251985</v>
      </c>
      <c r="F17" s="13" t="n">
        <v>-0.150951029592414</v>
      </c>
      <c r="G17" s="13" t="n">
        <v>-0.0321191224313345</v>
      </c>
      <c r="H17" s="13" t="n">
        <v>-0.0243975799090131</v>
      </c>
      <c r="I17" s="13" t="n">
        <v>-0.0174304694322161</v>
      </c>
      <c r="J17" s="13" t="n">
        <v>0.221887606006299</v>
      </c>
      <c r="K17" s="13" t="n">
        <v>0.641295215610664</v>
      </c>
    </row>
    <row r="18" customFormat="false" ht="15" hidden="false" customHeight="false" outlineLevel="0" collapsed="false">
      <c r="A18" s="12" t="n">
        <v>1964</v>
      </c>
      <c r="B18" s="12" t="n">
        <v>5</v>
      </c>
      <c r="C18" s="13" t="n">
        <v>2.20032258064516</v>
      </c>
      <c r="D18" s="13" t="n">
        <v>1.24352907973737</v>
      </c>
      <c r="E18" s="13" t="n">
        <v>0.95679350090779</v>
      </c>
      <c r="F18" s="13" t="n">
        <v>0.16110796888087</v>
      </c>
      <c r="G18" s="13" t="n">
        <v>-0.0375510126898036</v>
      </c>
      <c r="H18" s="13" t="n">
        <v>-0.0229405793917491</v>
      </c>
      <c r="I18" s="13" t="n">
        <v>-0.0373755737138006</v>
      </c>
      <c r="J18" s="13" t="n">
        <v>0.227283720224297</v>
      </c>
      <c r="K18" s="13" t="n">
        <v>0.666268977597976</v>
      </c>
    </row>
    <row r="19" customFormat="false" ht="15" hidden="false" customHeight="false" outlineLevel="0" collapsed="false">
      <c r="A19" s="12" t="n">
        <v>1964</v>
      </c>
      <c r="B19" s="12" t="n">
        <v>6</v>
      </c>
      <c r="C19" s="13" t="n">
        <v>1.4069</v>
      </c>
      <c r="D19" s="13" t="n">
        <v>0.658011226857785</v>
      </c>
      <c r="E19" s="13" t="n">
        <v>0.748888773142215</v>
      </c>
      <c r="F19" s="13" t="n">
        <v>-0.0621857599660916</v>
      </c>
      <c r="G19" s="13" t="n">
        <v>-0.0298187469328184</v>
      </c>
      <c r="H19" s="13" t="n">
        <v>-0.0193126748706505</v>
      </c>
      <c r="I19" s="13" t="n">
        <v>-0.0532379756806809</v>
      </c>
      <c r="J19" s="13" t="n">
        <v>0.229133746969089</v>
      </c>
      <c r="K19" s="13" t="n">
        <v>0.684310183623367</v>
      </c>
    </row>
    <row r="20" customFormat="false" ht="15" hidden="false" customHeight="false" outlineLevel="0" collapsed="false">
      <c r="A20" s="12" t="n">
        <v>1964</v>
      </c>
      <c r="B20" s="12" t="n">
        <v>7</v>
      </c>
      <c r="C20" s="13" t="n">
        <v>1.24296774193548</v>
      </c>
      <c r="D20" s="13" t="n">
        <v>0.315878623064547</v>
      </c>
      <c r="E20" s="13" t="n">
        <v>0.927089118870937</v>
      </c>
      <c r="F20" s="13" t="n">
        <v>0.0880382135266818</v>
      </c>
      <c r="G20" s="13" t="n">
        <v>-0.00924806003455937</v>
      </c>
      <c r="H20" s="13" t="n">
        <v>-0.0152601263689324</v>
      </c>
      <c r="I20" s="13" t="n">
        <v>-0.0635020408385538</v>
      </c>
      <c r="J20" s="13" t="n">
        <v>0.228387929374041</v>
      </c>
      <c r="K20" s="13" t="n">
        <v>0.69867320321226</v>
      </c>
    </row>
    <row r="21" customFormat="false" ht="15" hidden="false" customHeight="false" outlineLevel="0" collapsed="false">
      <c r="A21" s="12" t="n">
        <v>1964</v>
      </c>
      <c r="B21" s="12" t="n">
        <v>8</v>
      </c>
      <c r="C21" s="13" t="n">
        <v>1.25196774193548</v>
      </c>
      <c r="D21" s="13" t="n">
        <v>0.501383180314718</v>
      </c>
      <c r="E21" s="13" t="n">
        <v>0.750584561620766</v>
      </c>
      <c r="F21" s="13" t="n">
        <v>-0.135369148157598</v>
      </c>
      <c r="G21" s="13" t="n">
        <v>0.0193652558689902</v>
      </c>
      <c r="H21" s="13" t="n">
        <v>-0.012021335566858</v>
      </c>
      <c r="I21" s="13" t="n">
        <v>-0.0672437977617347</v>
      </c>
      <c r="J21" s="13" t="n">
        <v>0.226012776770322</v>
      </c>
      <c r="K21" s="13" t="n">
        <v>0.719840810467645</v>
      </c>
    </row>
    <row r="22" customFormat="false" ht="15" hidden="false" customHeight="false" outlineLevel="0" collapsed="false">
      <c r="A22" s="12" t="n">
        <v>1964</v>
      </c>
      <c r="B22" s="12" t="n">
        <v>9</v>
      </c>
      <c r="C22" s="13" t="n">
        <v>1.83736666666667</v>
      </c>
      <c r="D22" s="13" t="n">
        <v>0.90559285385301</v>
      </c>
      <c r="E22" s="13" t="n">
        <v>0.931773812813657</v>
      </c>
      <c r="F22" s="13" t="n">
        <v>-0.0126523196424884</v>
      </c>
      <c r="G22" s="13" t="n">
        <v>0.0445675001072885</v>
      </c>
      <c r="H22" s="13" t="n">
        <v>-0.00997687747960793</v>
      </c>
      <c r="I22" s="13" t="n">
        <v>-0.0642198531053227</v>
      </c>
      <c r="J22" s="13" t="n">
        <v>0.222934306671721</v>
      </c>
      <c r="K22" s="13" t="n">
        <v>0.751121056262067</v>
      </c>
    </row>
    <row r="23" customFormat="false" ht="15" hidden="false" customHeight="false" outlineLevel="0" collapsed="false">
      <c r="A23" s="12" t="n">
        <v>1964</v>
      </c>
      <c r="B23" s="12" t="n">
        <v>10</v>
      </c>
      <c r="C23" s="13" t="n">
        <v>2.32877419354839</v>
      </c>
      <c r="D23" s="13" t="n">
        <v>1.23228542818778</v>
      </c>
      <c r="E23" s="13" t="n">
        <v>1.09648876536061</v>
      </c>
      <c r="F23" s="13" t="n">
        <v>0.106373997349353</v>
      </c>
      <c r="G23" s="13" t="n">
        <v>0.0528672426786033</v>
      </c>
      <c r="H23" s="13" t="n">
        <v>-0.0086102980829755</v>
      </c>
      <c r="I23" s="13" t="n">
        <v>-0.0548843940265998</v>
      </c>
      <c r="J23" s="13" t="n">
        <v>0.219988693355275</v>
      </c>
      <c r="K23" s="13" t="n">
        <v>0.78075352408695</v>
      </c>
    </row>
    <row r="24" customFormat="false" ht="15" hidden="false" customHeight="false" outlineLevel="0" collapsed="false">
      <c r="A24" s="12" t="n">
        <v>1964</v>
      </c>
      <c r="B24" s="12" t="n">
        <v>11</v>
      </c>
      <c r="C24" s="13" t="n">
        <v>2.25626666666667</v>
      </c>
      <c r="D24" s="13" t="n">
        <v>1.28453082066422</v>
      </c>
      <c r="E24" s="13" t="n">
        <v>0.97173584600245</v>
      </c>
      <c r="F24" s="13" t="n">
        <v>-0.0324499635163464</v>
      </c>
      <c r="G24" s="13" t="n">
        <v>0.0382004843481954</v>
      </c>
      <c r="H24" s="13" t="n">
        <v>-0.00678393687415723</v>
      </c>
      <c r="I24" s="13" t="n">
        <v>-0.0403328783360065</v>
      </c>
      <c r="J24" s="13" t="n">
        <v>0.217882579833026</v>
      </c>
      <c r="K24" s="13" t="n">
        <v>0.795219560547739</v>
      </c>
    </row>
    <row r="25" customFormat="false" ht="15" hidden="false" customHeight="false" outlineLevel="0" collapsed="false">
      <c r="A25" s="12" t="n">
        <v>1964</v>
      </c>
      <c r="B25" s="12" t="n">
        <v>12</v>
      </c>
      <c r="C25" s="13" t="n">
        <v>2.21458064516129</v>
      </c>
      <c r="D25" s="13" t="n">
        <v>1.11336265294866</v>
      </c>
      <c r="E25" s="13" t="n">
        <v>1.10121799221263</v>
      </c>
      <c r="F25" s="13" t="n">
        <v>0.104290100711256</v>
      </c>
      <c r="G25" s="13" t="n">
        <v>0.00718970485217763</v>
      </c>
      <c r="H25" s="13" t="n">
        <v>-0.00324023220696392</v>
      </c>
      <c r="I25" s="13" t="n">
        <v>-0.0221788334018099</v>
      </c>
      <c r="J25" s="13" t="n">
        <v>0.217164412832998</v>
      </c>
      <c r="K25" s="13" t="n">
        <v>0.797992839424972</v>
      </c>
    </row>
    <row r="26" customFormat="false" ht="15" hidden="false" customHeight="false" outlineLevel="0" collapsed="false">
      <c r="A26" s="12" t="n">
        <v>1965</v>
      </c>
      <c r="B26" s="12" t="n">
        <v>1</v>
      </c>
      <c r="C26" s="13" t="n">
        <v>1.88651612903226</v>
      </c>
      <c r="D26" s="13" t="n">
        <v>1.07231621372436</v>
      </c>
      <c r="E26" s="13" t="n">
        <v>0.814199915307898</v>
      </c>
      <c r="F26" s="13" t="n">
        <v>-0.185603020802468</v>
      </c>
      <c r="G26" s="13" t="n">
        <v>-0.0256389890798899</v>
      </c>
      <c r="H26" s="13" t="n">
        <v>0.00282978852482414</v>
      </c>
      <c r="I26" s="13" t="n">
        <v>-0.00237730422465325</v>
      </c>
      <c r="J26" s="13" t="n">
        <v>0.218207351979661</v>
      </c>
      <c r="K26" s="13" t="n">
        <v>0.806782088910423</v>
      </c>
    </row>
    <row r="27" customFormat="false" ht="15" hidden="false" customHeight="false" outlineLevel="0" collapsed="false">
      <c r="A27" s="12" t="n">
        <v>1965</v>
      </c>
      <c r="B27" s="12" t="n">
        <v>2</v>
      </c>
      <c r="C27" s="13" t="n">
        <v>2.20675</v>
      </c>
      <c r="D27" s="13" t="n">
        <v>1.21603419537658</v>
      </c>
      <c r="E27" s="13" t="n">
        <v>0.990715804623423</v>
      </c>
      <c r="F27" s="13" t="n">
        <v>-0.0416752291378496</v>
      </c>
      <c r="G27" s="13" t="n">
        <v>-0.0479402045872857</v>
      </c>
      <c r="H27" s="13" t="n">
        <v>0.0113330984613329</v>
      </c>
      <c r="I27" s="13" t="n">
        <v>0.0169858600895422</v>
      </c>
      <c r="J27" s="13" t="n">
        <v>0.221203625622317</v>
      </c>
      <c r="K27" s="13" t="n">
        <v>0.830808654175366</v>
      </c>
    </row>
    <row r="28" customFormat="false" ht="15" hidden="false" customHeight="false" outlineLevel="0" collapsed="false">
      <c r="A28" s="12" t="n">
        <v>1965</v>
      </c>
      <c r="B28" s="12" t="n">
        <v>3</v>
      </c>
      <c r="C28" s="13" t="n">
        <v>2.63925806451613</v>
      </c>
      <c r="D28" s="13" t="n">
        <v>1.36024846913227</v>
      </c>
      <c r="E28" s="13" t="n">
        <v>1.27900959538386</v>
      </c>
      <c r="F28" s="13" t="n">
        <v>0.19327859717668</v>
      </c>
      <c r="G28" s="13" t="n">
        <v>-0.0548562383953483</v>
      </c>
      <c r="H28" s="13" t="n">
        <v>0.0210900565862982</v>
      </c>
      <c r="I28" s="13" t="n">
        <v>0.0339161241745054</v>
      </c>
      <c r="J28" s="13" t="n">
        <v>0.226169579759448</v>
      </c>
      <c r="K28" s="13" t="n">
        <v>0.859411476082272</v>
      </c>
    </row>
    <row r="29" customFormat="false" ht="15" hidden="false" customHeight="false" outlineLevel="0" collapsed="false">
      <c r="A29" s="12" t="n">
        <v>1965</v>
      </c>
      <c r="B29" s="12" t="n">
        <v>4</v>
      </c>
      <c r="C29" s="13" t="n">
        <v>2.5929</v>
      </c>
      <c r="D29" s="13" t="n">
        <v>1.42957124102758</v>
      </c>
      <c r="E29" s="13" t="n">
        <v>1.16332875897242</v>
      </c>
      <c r="F29" s="13" t="n">
        <v>0.0215959249756965</v>
      </c>
      <c r="G29" s="13" t="n">
        <v>-0.0461066602147805</v>
      </c>
      <c r="H29" s="13" t="n">
        <v>0.0299979962629008</v>
      </c>
      <c r="I29" s="13" t="n">
        <v>0.0467199283994813</v>
      </c>
      <c r="J29" s="13" t="n">
        <v>0.232960025527549</v>
      </c>
      <c r="K29" s="13" t="n">
        <v>0.87816154402157</v>
      </c>
    </row>
    <row r="30" customFormat="false" ht="15" hidden="false" customHeight="false" outlineLevel="0" collapsed="false">
      <c r="A30" s="12" t="n">
        <v>1965</v>
      </c>
      <c r="B30" s="12" t="n">
        <v>5</v>
      </c>
      <c r="C30" s="13" t="n">
        <v>2.23070967741936</v>
      </c>
      <c r="D30" s="13" t="n">
        <v>1.18482337334512</v>
      </c>
      <c r="E30" s="13" t="n">
        <v>1.04588630407424</v>
      </c>
      <c r="F30" s="13" t="n">
        <v>-0.15155056364242</v>
      </c>
      <c r="G30" s="13" t="n">
        <v>-0.0217908605184743</v>
      </c>
      <c r="H30" s="13" t="n">
        <v>0.0355221410618361</v>
      </c>
      <c r="I30" s="13" t="n">
        <v>0.054179513683408</v>
      </c>
      <c r="J30" s="13" t="n">
        <v>0.24128990962687</v>
      </c>
      <c r="K30" s="13" t="n">
        <v>0.888236163863015</v>
      </c>
    </row>
    <row r="31" customFormat="false" ht="15" hidden="false" customHeight="false" outlineLevel="0" collapsed="false">
      <c r="A31" s="12" t="n">
        <v>1965</v>
      </c>
      <c r="B31" s="12" t="n">
        <v>6</v>
      </c>
      <c r="C31" s="13" t="n">
        <v>1.8783</v>
      </c>
      <c r="D31" s="13" t="n">
        <v>0.607721207813776</v>
      </c>
      <c r="E31" s="13" t="n">
        <v>1.27057879218622</v>
      </c>
      <c r="F31" s="13" t="n">
        <v>0.0115938973479375</v>
      </c>
      <c r="G31" s="13" t="n">
        <v>0.0154113676672488</v>
      </c>
      <c r="H31" s="13" t="n">
        <v>0.0353943569800579</v>
      </c>
      <c r="I31" s="13" t="n">
        <v>0.0556744239136291</v>
      </c>
      <c r="J31" s="13" t="n">
        <v>0.25076097600276</v>
      </c>
      <c r="K31" s="13" t="n">
        <v>0.90174377027459</v>
      </c>
    </row>
    <row r="32" customFormat="false" ht="15" hidden="false" customHeight="false" outlineLevel="0" collapsed="false">
      <c r="A32" s="12" t="n">
        <v>1965</v>
      </c>
      <c r="B32" s="12" t="n">
        <v>7</v>
      </c>
      <c r="C32" s="13" t="n">
        <v>1.63796774193548</v>
      </c>
      <c r="D32" s="13" t="n">
        <v>0.274065201012183</v>
      </c>
      <c r="E32" s="13" t="n">
        <v>1.3639025409233</v>
      </c>
      <c r="F32" s="13" t="n">
        <v>0.0455251119028244</v>
      </c>
      <c r="G32" s="13" t="n">
        <v>0.0540782704242301</v>
      </c>
      <c r="H32" s="13" t="n">
        <v>0.0283312713077256</v>
      </c>
      <c r="I32" s="13" t="n">
        <v>0.0512370862233443</v>
      </c>
      <c r="J32" s="13" t="n">
        <v>0.260891024606807</v>
      </c>
      <c r="K32" s="13" t="n">
        <v>0.92383977645837</v>
      </c>
    </row>
    <row r="33" customFormat="false" ht="15" hidden="false" customHeight="false" outlineLevel="0" collapsed="false">
      <c r="A33" s="12" t="n">
        <v>1965</v>
      </c>
      <c r="B33" s="12" t="n">
        <v>8</v>
      </c>
      <c r="C33" s="13" t="n">
        <v>1.81564516129032</v>
      </c>
      <c r="D33" s="13" t="n">
        <v>0.468090804502379</v>
      </c>
      <c r="E33" s="13" t="n">
        <v>1.34755435678794</v>
      </c>
      <c r="F33" s="13" t="n">
        <v>-0.00306528858843423</v>
      </c>
      <c r="G33" s="13" t="n">
        <v>0.0743863606388647</v>
      </c>
      <c r="H33" s="13" t="n">
        <v>0.014564485152061</v>
      </c>
      <c r="I33" s="13" t="n">
        <v>0.0415370993202229</v>
      </c>
      <c r="J33" s="13" t="n">
        <v>0.271143537324564</v>
      </c>
      <c r="K33" s="13" t="n">
        <v>0.948988162940665</v>
      </c>
    </row>
    <row r="34" customFormat="false" ht="15" hidden="false" customHeight="false" outlineLevel="0" collapsed="false">
      <c r="A34" s="12" t="n">
        <v>1965</v>
      </c>
      <c r="B34" s="12" t="n">
        <v>9</v>
      </c>
      <c r="C34" s="13" t="n">
        <v>2.2626</v>
      </c>
      <c r="D34" s="13" t="n">
        <v>0.88084944200881</v>
      </c>
      <c r="E34" s="13" t="n">
        <v>1.38175055799119</v>
      </c>
      <c r="F34" s="13" t="n">
        <v>0.0445265922489638</v>
      </c>
      <c r="G34" s="13" t="n">
        <v>0.0602248561382982</v>
      </c>
      <c r="H34" s="13" t="n">
        <v>-0.00398573302976537</v>
      </c>
      <c r="I34" s="13" t="n">
        <v>0.0277966432908112</v>
      </c>
      <c r="J34" s="13" t="n">
        <v>0.280955782591882</v>
      </c>
      <c r="K34" s="13" t="n">
        <v>0.972232416751</v>
      </c>
    </row>
    <row r="35" customFormat="false" ht="15" hidden="false" customHeight="false" outlineLevel="0" collapsed="false">
      <c r="A35" s="12" t="n">
        <v>1965</v>
      </c>
      <c r="B35" s="12" t="n">
        <v>10</v>
      </c>
      <c r="C35" s="13" t="n">
        <v>2.42783870967742</v>
      </c>
      <c r="D35" s="13" t="n">
        <v>1.21610233945413</v>
      </c>
      <c r="E35" s="13" t="n">
        <v>1.21173637022329</v>
      </c>
      <c r="F35" s="13" t="n">
        <v>-0.0754651413032678</v>
      </c>
      <c r="G35" s="13" t="n">
        <v>0.0145714309121195</v>
      </c>
      <c r="H35" s="13" t="n">
        <v>-0.0239740949007394</v>
      </c>
      <c r="I35" s="13" t="n">
        <v>0.0116469100285994</v>
      </c>
      <c r="J35" s="13" t="n">
        <v>0.289764049158297</v>
      </c>
      <c r="K35" s="13" t="n">
        <v>0.99519321632828</v>
      </c>
    </row>
    <row r="36" customFormat="false" ht="15" hidden="false" customHeight="false" outlineLevel="0" collapsed="false">
      <c r="A36" s="12" t="n">
        <v>1965</v>
      </c>
      <c r="B36" s="12" t="n">
        <v>11</v>
      </c>
      <c r="C36" s="13" t="n">
        <v>2.58623333333333</v>
      </c>
      <c r="D36" s="13" t="n">
        <v>1.27690287261193</v>
      </c>
      <c r="E36" s="13" t="n">
        <v>1.30933046072141</v>
      </c>
      <c r="F36" s="13" t="n">
        <v>0.0764037451218414</v>
      </c>
      <c r="G36" s="13" t="n">
        <v>-0.0373915389543902</v>
      </c>
      <c r="H36" s="13" t="n">
        <v>-0.0412973538335219</v>
      </c>
      <c r="I36" s="13" t="n">
        <v>-0.00505817569269794</v>
      </c>
      <c r="J36" s="13" t="n">
        <v>0.297025358795019</v>
      </c>
      <c r="K36" s="13" t="n">
        <v>1.01964842528516</v>
      </c>
    </row>
    <row r="37" customFormat="false" ht="15" hidden="false" customHeight="false" outlineLevel="0" collapsed="false">
      <c r="A37" s="12" t="n">
        <v>1965</v>
      </c>
      <c r="B37" s="12" t="n">
        <v>12</v>
      </c>
      <c r="C37" s="13" t="n">
        <v>2.20309677419355</v>
      </c>
      <c r="D37" s="13" t="n">
        <v>1.11426818260005</v>
      </c>
      <c r="E37" s="13" t="n">
        <v>1.0888285915935</v>
      </c>
      <c r="F37" s="13" t="n">
        <v>-0.118344463628898</v>
      </c>
      <c r="G37" s="13" t="n">
        <v>-0.0640858479849507</v>
      </c>
      <c r="H37" s="13" t="n">
        <v>-0.052019506698082</v>
      </c>
      <c r="I37" s="13" t="n">
        <v>-0.020450112778311</v>
      </c>
      <c r="J37" s="13" t="n">
        <v>0.302235705164784</v>
      </c>
      <c r="K37" s="13" t="n">
        <v>1.04149281751896</v>
      </c>
    </row>
    <row r="38" customFormat="false" ht="15" hidden="false" customHeight="false" outlineLevel="0" collapsed="false">
      <c r="A38" s="12" t="n">
        <v>1966</v>
      </c>
      <c r="B38" s="12" t="n">
        <v>1</v>
      </c>
      <c r="C38" s="13" t="n">
        <v>2.41632258064516</v>
      </c>
      <c r="D38" s="13" t="n">
        <v>1.08171718233902</v>
      </c>
      <c r="E38" s="13" t="n">
        <v>1.33460539830614</v>
      </c>
      <c r="F38" s="13" t="n">
        <v>0.111687556917026</v>
      </c>
      <c r="G38" s="13" t="n">
        <v>-0.0514076225134776</v>
      </c>
      <c r="H38" s="13" t="n">
        <v>-0.0533323534368315</v>
      </c>
      <c r="I38" s="13" t="n">
        <v>-0.0328527687777808</v>
      </c>
      <c r="J38" s="13" t="n">
        <v>0.304945363311173</v>
      </c>
      <c r="K38" s="13" t="n">
        <v>1.05556522280603</v>
      </c>
    </row>
    <row r="39" customFormat="false" ht="15" hidden="false" customHeight="false" outlineLevel="0" collapsed="false">
      <c r="A39" s="12" t="n">
        <v>1966</v>
      </c>
      <c r="B39" s="12" t="n">
        <v>2</v>
      </c>
      <c r="C39" s="13" t="n">
        <v>2.49325</v>
      </c>
      <c r="D39" s="13" t="n">
        <v>1.23387633664337</v>
      </c>
      <c r="E39" s="13" t="n">
        <v>1.25937366335663</v>
      </c>
      <c r="F39" s="13" t="n">
        <v>-0.0101064445334833</v>
      </c>
      <c r="G39" s="13" t="n">
        <v>-0.014333108939091</v>
      </c>
      <c r="H39" s="13" t="n">
        <v>-0.0443071303285182</v>
      </c>
      <c r="I39" s="13" t="n">
        <v>-0.0409653120179514</v>
      </c>
      <c r="J39" s="13" t="n">
        <v>0.304771991676117</v>
      </c>
      <c r="K39" s="13" t="n">
        <v>1.06431366749956</v>
      </c>
    </row>
    <row r="40" customFormat="false" ht="15" hidden="false" customHeight="false" outlineLevel="0" collapsed="false">
      <c r="A40" s="12" t="n">
        <v>1966</v>
      </c>
      <c r="B40" s="12" t="n">
        <v>3</v>
      </c>
      <c r="C40" s="13" t="n">
        <v>2.61532258064516</v>
      </c>
      <c r="D40" s="13" t="n">
        <v>1.38646148028478</v>
      </c>
      <c r="E40" s="13" t="n">
        <v>1.22886110036038</v>
      </c>
      <c r="F40" s="13" t="n">
        <v>-0.0938332889340261</v>
      </c>
      <c r="G40" s="13" t="n">
        <v>0.0152943207257103</v>
      </c>
      <c r="H40" s="13" t="n">
        <v>-0.0262350997708476</v>
      </c>
      <c r="I40" s="13" t="n">
        <v>-0.0440011242919515</v>
      </c>
      <c r="J40" s="13" t="n">
        <v>0.301412111387136</v>
      </c>
      <c r="K40" s="13" t="n">
        <v>1.07622418124436</v>
      </c>
    </row>
    <row r="41" customFormat="false" ht="15" hidden="false" customHeight="false" outlineLevel="0" collapsed="false">
      <c r="A41" s="12" t="n">
        <v>1966</v>
      </c>
      <c r="B41" s="12" t="n">
        <v>4</v>
      </c>
      <c r="C41" s="13" t="n">
        <v>2.8869</v>
      </c>
      <c r="D41" s="13" t="n">
        <v>1.46406901624859</v>
      </c>
      <c r="E41" s="13" t="n">
        <v>1.42283098375141</v>
      </c>
      <c r="F41" s="13" t="n">
        <v>0.0619653066867829</v>
      </c>
      <c r="G41" s="13" t="n">
        <v>0.0158487312097509</v>
      </c>
      <c r="H41" s="13" t="n">
        <v>-0.00245159515762941</v>
      </c>
      <c r="I41" s="13" t="n">
        <v>-0.041767674302438</v>
      </c>
      <c r="J41" s="13" t="n">
        <v>0.294651200618902</v>
      </c>
      <c r="K41" s="13" t="n">
        <v>1.09458501469604</v>
      </c>
    </row>
    <row r="42" customFormat="false" ht="15" hidden="false" customHeight="false" outlineLevel="0" collapsed="false">
      <c r="A42" s="12" t="n">
        <v>1966</v>
      </c>
      <c r="B42" s="12" t="n">
        <v>5</v>
      </c>
      <c r="C42" s="13" t="n">
        <v>2.65890322580645</v>
      </c>
      <c r="D42" s="13" t="n">
        <v>1.22750427872656</v>
      </c>
      <c r="E42" s="13" t="n">
        <v>1.4313989470799</v>
      </c>
      <c r="F42" s="13" t="n">
        <v>0.0516050928449374</v>
      </c>
      <c r="G42" s="13" t="n">
        <v>-0.00530708469064767</v>
      </c>
      <c r="H42" s="13" t="n">
        <v>0.0223348425919515</v>
      </c>
      <c r="I42" s="13" t="n">
        <v>-0.0346789559499445</v>
      </c>
      <c r="J42" s="13" t="n">
        <v>0.284372219906763</v>
      </c>
      <c r="K42" s="13" t="n">
        <v>1.11307283237684</v>
      </c>
    </row>
    <row r="43" customFormat="false" ht="15" hidden="false" customHeight="false" outlineLevel="0" collapsed="false">
      <c r="A43" s="12" t="n">
        <v>1966</v>
      </c>
      <c r="B43" s="12" t="n">
        <v>6</v>
      </c>
      <c r="C43" s="13" t="n">
        <v>2.07333333333333</v>
      </c>
      <c r="D43" s="13" t="n">
        <v>0.658468396996054</v>
      </c>
      <c r="E43" s="13" t="n">
        <v>1.41486493633728</v>
      </c>
      <c r="F43" s="13" t="n">
        <v>0.0186470018280654</v>
      </c>
      <c r="G43" s="13" t="n">
        <v>-0.0188279208615435</v>
      </c>
      <c r="H43" s="13" t="n">
        <v>0.04306141957899</v>
      </c>
      <c r="I43" s="13" t="n">
        <v>-0.0236996221956756</v>
      </c>
      <c r="J43" s="13" t="n">
        <v>0.270562004851611</v>
      </c>
      <c r="K43" s="13" t="n">
        <v>1.12512205313583</v>
      </c>
    </row>
    <row r="44" customFormat="false" ht="15" hidden="false" customHeight="false" outlineLevel="0" collapsed="false">
      <c r="A44" s="12" t="n">
        <v>1966</v>
      </c>
      <c r="B44" s="12" t="n">
        <v>7</v>
      </c>
      <c r="C44" s="13" t="n">
        <v>1.60958064516129</v>
      </c>
      <c r="D44" s="13" t="n">
        <v>0.332746970495256</v>
      </c>
      <c r="E44" s="13" t="n">
        <v>1.27683367466603</v>
      </c>
      <c r="F44" s="13" t="n">
        <v>-0.152618556266194</v>
      </c>
      <c r="G44" s="13" t="n">
        <v>-0.00134746302725108</v>
      </c>
      <c r="H44" s="13" t="n">
        <v>0.0554406286160058</v>
      </c>
      <c r="I44" s="13" t="n">
        <v>-0.010227542058442</v>
      </c>
      <c r="J44" s="13" t="n">
        <v>0.253314725487454</v>
      </c>
      <c r="K44" s="13" t="n">
        <v>1.13227188191446</v>
      </c>
    </row>
    <row r="45" customFormat="false" ht="15" hidden="false" customHeight="false" outlineLevel="0" collapsed="false">
      <c r="A45" s="12" t="n">
        <v>1966</v>
      </c>
      <c r="B45" s="12" t="n">
        <v>8</v>
      </c>
      <c r="C45" s="13" t="n">
        <v>2.05516129032258</v>
      </c>
      <c r="D45" s="13" t="n">
        <v>0.534560987545321</v>
      </c>
      <c r="E45" s="13" t="n">
        <v>1.52060030277726</v>
      </c>
      <c r="F45" s="13" t="n">
        <v>0.0472265362160545</v>
      </c>
      <c r="G45" s="13" t="n">
        <v>0.0402109267990745</v>
      </c>
      <c r="H45" s="13" t="n">
        <v>0.056930658412699</v>
      </c>
      <c r="I45" s="13" t="n">
        <v>0.00407166369093668</v>
      </c>
      <c r="J45" s="13" t="n">
        <v>0.232831573733081</v>
      </c>
      <c r="K45" s="13" t="n">
        <v>1.13932894392541</v>
      </c>
    </row>
    <row r="46" customFormat="false" ht="15" hidden="false" customHeight="false" outlineLevel="0" collapsed="false">
      <c r="A46" s="12" t="n">
        <v>1966</v>
      </c>
      <c r="B46" s="12" t="n">
        <v>9</v>
      </c>
      <c r="C46" s="13" t="n">
        <v>2.49996666666667</v>
      </c>
      <c r="D46" s="13" t="n">
        <v>0.954947839860991</v>
      </c>
      <c r="E46" s="13" t="n">
        <v>1.54501882680568</v>
      </c>
      <c r="F46" s="13" t="n">
        <v>0.0532602825106973</v>
      </c>
      <c r="G46" s="13" t="n">
        <v>0.071075885993128</v>
      </c>
      <c r="H46" s="13" t="n">
        <v>0.0473122586253549</v>
      </c>
      <c r="I46" s="13" t="n">
        <v>0.0174592465207755</v>
      </c>
      <c r="J46" s="13" t="n">
        <v>0.209415978528175</v>
      </c>
      <c r="K46" s="13" t="n">
        <v>1.14649517462755</v>
      </c>
    </row>
    <row r="47" customFormat="false" ht="15" hidden="false" customHeight="false" outlineLevel="0" collapsed="false">
      <c r="A47" s="12" t="n">
        <v>1966</v>
      </c>
      <c r="B47" s="12" t="n">
        <v>10</v>
      </c>
      <c r="C47" s="13" t="n">
        <v>2.76074193548387</v>
      </c>
      <c r="D47" s="13" t="n">
        <v>1.29765518858551</v>
      </c>
      <c r="E47" s="13" t="n">
        <v>1.46308674689836</v>
      </c>
      <c r="F47" s="13" t="n">
        <v>0.0130695302740105</v>
      </c>
      <c r="G47" s="13" t="n">
        <v>0.0576878304547936</v>
      </c>
      <c r="H47" s="13" t="n">
        <v>0.0287320781396749</v>
      </c>
      <c r="I47" s="13" t="n">
        <v>0.0283250526149334</v>
      </c>
      <c r="J47" s="13" t="n">
        <v>0.183463915548327</v>
      </c>
      <c r="K47" s="13" t="n">
        <v>1.15180833986662</v>
      </c>
    </row>
    <row r="48" customFormat="false" ht="15" hidden="false" customHeight="false" outlineLevel="0" collapsed="false">
      <c r="A48" s="12" t="n">
        <v>1966</v>
      </c>
      <c r="B48" s="12" t="n">
        <v>11</v>
      </c>
      <c r="C48" s="13" t="n">
        <v>2.73413333333333</v>
      </c>
      <c r="D48" s="13" t="n">
        <v>1.36572334651284</v>
      </c>
      <c r="E48" s="13" t="n">
        <v>1.36840998682049</v>
      </c>
      <c r="F48" s="13" t="n">
        <v>0.0156838712502377</v>
      </c>
      <c r="G48" s="13" t="n">
        <v>-0.00132436194502944</v>
      </c>
      <c r="H48" s="13" t="n">
        <v>0.0052023713388147</v>
      </c>
      <c r="I48" s="13" t="n">
        <v>0.0353735413588329</v>
      </c>
      <c r="J48" s="13" t="n">
        <v>0.155449290085904</v>
      </c>
      <c r="K48" s="13" t="n">
        <v>1.15802527473173</v>
      </c>
    </row>
    <row r="49" customFormat="false" ht="15" hidden="false" customHeight="false" outlineLevel="0" collapsed="false">
      <c r="A49" s="12" t="n">
        <v>1966</v>
      </c>
      <c r="B49" s="12" t="n">
        <v>12</v>
      </c>
      <c r="C49" s="13" t="n">
        <v>2.40341935483871</v>
      </c>
      <c r="D49" s="13" t="n">
        <v>1.21015692657378</v>
      </c>
      <c r="E49" s="13" t="n">
        <v>1.19326242826493</v>
      </c>
      <c r="F49" s="13" t="n">
        <v>-0.0529292107666704</v>
      </c>
      <c r="G49" s="13" t="n">
        <v>-0.0698679003855629</v>
      </c>
      <c r="H49" s="13" t="n">
        <v>-0.0183206073199092</v>
      </c>
      <c r="I49" s="13" t="n">
        <v>0.0377730949029185</v>
      </c>
      <c r="J49" s="13" t="n">
        <v>0.12590495003827</v>
      </c>
      <c r="K49" s="13" t="n">
        <v>1.17070210179588</v>
      </c>
    </row>
    <row r="50" customFormat="false" ht="15" hidden="false" customHeight="false" outlineLevel="0" collapsed="false">
      <c r="A50" s="12" t="n">
        <v>1967</v>
      </c>
      <c r="B50" s="12" t="n">
        <v>1</v>
      </c>
      <c r="C50" s="13" t="n">
        <v>2.32625806451613</v>
      </c>
      <c r="D50" s="13" t="n">
        <v>1.18446287965855</v>
      </c>
      <c r="E50" s="13" t="n">
        <v>1.14179518485758</v>
      </c>
      <c r="F50" s="13" t="n">
        <v>-0.0406186699700025</v>
      </c>
      <c r="G50" s="13" t="n">
        <v>-0.100475431245558</v>
      </c>
      <c r="H50" s="13" t="n">
        <v>-0.0370558425011139</v>
      </c>
      <c r="I50" s="13" t="n">
        <v>0.0352517505038121</v>
      </c>
      <c r="J50" s="13" t="n">
        <v>0.095400528940355</v>
      </c>
      <c r="K50" s="13" t="n">
        <v>1.18929284913009</v>
      </c>
    </row>
    <row r="51" customFormat="false" ht="15" hidden="false" customHeight="false" outlineLevel="0" collapsed="false">
      <c r="A51" s="12" t="n">
        <v>1967</v>
      </c>
      <c r="B51" s="12" t="n">
        <v>2</v>
      </c>
      <c r="C51" s="13" t="n">
        <v>2.58410714285714</v>
      </c>
      <c r="D51" s="13" t="n">
        <v>1.34325630432789</v>
      </c>
      <c r="E51" s="13" t="n">
        <v>1.24085083852925</v>
      </c>
      <c r="F51" s="13" t="n">
        <v>0.061147243966794</v>
      </c>
      <c r="G51" s="13" t="n">
        <v>-0.0705255718602341</v>
      </c>
      <c r="H51" s="13" t="n">
        <v>-0.0474460282736824</v>
      </c>
      <c r="I51" s="13" t="n">
        <v>0.0281285051111098</v>
      </c>
      <c r="J51" s="13" t="n">
        <v>0.0645188063456177</v>
      </c>
      <c r="K51" s="13" t="n">
        <v>1.20502788323965</v>
      </c>
    </row>
    <row r="52" customFormat="false" ht="15" hidden="false" customHeight="false" outlineLevel="0" collapsed="false">
      <c r="A52" s="12" t="n">
        <v>1967</v>
      </c>
      <c r="B52" s="12" t="n">
        <v>3</v>
      </c>
      <c r="C52" s="13" t="n">
        <v>2.69990322580645</v>
      </c>
      <c r="D52" s="13" t="n">
        <v>1.50224229266236</v>
      </c>
      <c r="E52" s="13" t="n">
        <v>1.19766093314409</v>
      </c>
      <c r="F52" s="13" t="n">
        <v>-0.0165283194668189</v>
      </c>
      <c r="G52" s="13" t="n">
        <v>0.000623299811373059</v>
      </c>
      <c r="H52" s="13" t="n">
        <v>-0.0478895696586924</v>
      </c>
      <c r="I52" s="13" t="n">
        <v>0.0172765749040737</v>
      </c>
      <c r="J52" s="13" t="n">
        <v>0.0338324224873306</v>
      </c>
      <c r="K52" s="13" t="n">
        <v>1.21034652506683</v>
      </c>
    </row>
    <row r="53" customFormat="false" ht="15" hidden="false" customHeight="false" outlineLevel="0" collapsed="false">
      <c r="A53" s="12" t="n">
        <v>1967</v>
      </c>
      <c r="B53" s="12" t="n">
        <v>4</v>
      </c>
      <c r="C53" s="13" t="n">
        <v>2.8431</v>
      </c>
      <c r="D53" s="13" t="n">
        <v>1.58600715440388</v>
      </c>
      <c r="E53" s="13" t="n">
        <v>1.25709284559612</v>
      </c>
      <c r="F53" s="13" t="n">
        <v>0.013589659861589</v>
      </c>
      <c r="G53" s="13" t="n">
        <v>0.0661663900741657</v>
      </c>
      <c r="H53" s="13" t="n">
        <v>-0.0389937857028762</v>
      </c>
      <c r="I53" s="13" t="n">
        <v>0.00402264101754314</v>
      </c>
      <c r="J53" s="13" t="n">
        <v>0.0038825831824417</v>
      </c>
      <c r="K53" s="13" t="n">
        <v>1.20842535716326</v>
      </c>
    </row>
    <row r="54" customFormat="false" ht="15" hidden="false" customHeight="false" outlineLevel="0" collapsed="false">
      <c r="A54" s="12" t="n">
        <v>1967</v>
      </c>
      <c r="B54" s="12" t="n">
        <v>5</v>
      </c>
      <c r="C54" s="13" t="n">
        <v>2.60870967741936</v>
      </c>
      <c r="D54" s="13" t="n">
        <v>1.35534680384459</v>
      </c>
      <c r="E54" s="13" t="n">
        <v>1.25336287357477</v>
      </c>
      <c r="F54" s="13" t="n">
        <v>0.0156543198619076</v>
      </c>
      <c r="G54" s="13" t="n">
        <v>0.0853231473033926</v>
      </c>
      <c r="H54" s="13" t="n">
        <v>-0.0233086599684075</v>
      </c>
      <c r="I54" s="13" t="n">
        <v>-0.010006670423822</v>
      </c>
      <c r="J54" s="13" t="n">
        <v>-0.024839017377631</v>
      </c>
      <c r="K54" s="13" t="n">
        <v>1.21053975417933</v>
      </c>
    </row>
    <row r="55" customFormat="false" ht="15" hidden="false" customHeight="false" outlineLevel="0" collapsed="false">
      <c r="A55" s="12" t="n">
        <v>1967</v>
      </c>
      <c r="B55" s="12" t="n">
        <v>6</v>
      </c>
      <c r="C55" s="13" t="n">
        <v>1.92963333333333</v>
      </c>
      <c r="D55" s="13" t="n">
        <v>0.791953645550287</v>
      </c>
      <c r="E55" s="13" t="n">
        <v>1.13767968778305</v>
      </c>
      <c r="F55" s="13" t="n">
        <v>-0.0571342846800333</v>
      </c>
      <c r="G55" s="13" t="n">
        <v>0.0502557326207519</v>
      </c>
      <c r="H55" s="13" t="n">
        <v>-0.0046286287884446</v>
      </c>
      <c r="I55" s="13" t="n">
        <v>-0.0230738416546991</v>
      </c>
      <c r="J55" s="13" t="n">
        <v>-0.0519042660123325</v>
      </c>
      <c r="K55" s="13" t="n">
        <v>1.2241649762978</v>
      </c>
    </row>
    <row r="56" customFormat="false" ht="15" hidden="false" customHeight="false" outlineLevel="0" collapsed="false">
      <c r="A56" s="12" t="n">
        <v>1967</v>
      </c>
      <c r="B56" s="12" t="n">
        <v>7</v>
      </c>
      <c r="C56" s="13" t="n">
        <v>1.64787096774194</v>
      </c>
      <c r="D56" s="13" t="n">
        <v>0.471605269161645</v>
      </c>
      <c r="E56" s="13" t="n">
        <v>1.17626569858029</v>
      </c>
      <c r="F56" s="13" t="n">
        <v>0.0394752657035951</v>
      </c>
      <c r="G56" s="13" t="n">
        <v>-0.011347460181095</v>
      </c>
      <c r="H56" s="13" t="n">
        <v>0.0129482552620069</v>
      </c>
      <c r="I56" s="13" t="n">
        <v>-0.0335337335326737</v>
      </c>
      <c r="J56" s="13" t="n">
        <v>-0.0769582656685314</v>
      </c>
      <c r="K56" s="13" t="n">
        <v>1.24568163699699</v>
      </c>
    </row>
    <row r="57" customFormat="false" ht="15" hidden="false" customHeight="false" outlineLevel="0" collapsed="false">
      <c r="A57" s="12" t="n">
        <v>1967</v>
      </c>
      <c r="B57" s="12" t="n">
        <v>8</v>
      </c>
      <c r="C57" s="13" t="n">
        <v>1.81722580645161</v>
      </c>
      <c r="D57" s="13" t="n">
        <v>0.678515385670046</v>
      </c>
      <c r="E57" s="13" t="n">
        <v>1.13871042078157</v>
      </c>
      <c r="F57" s="13" t="n">
        <v>0.044396651573669</v>
      </c>
      <c r="G57" s="13" t="n">
        <v>-0.0569184184581384</v>
      </c>
      <c r="H57" s="13" t="n">
        <v>0.02596399849666</v>
      </c>
      <c r="I57" s="13" t="n">
        <v>-0.0400280323114436</v>
      </c>
      <c r="J57" s="13" t="n">
        <v>-0.0997243927961878</v>
      </c>
      <c r="K57" s="13" t="n">
        <v>1.26502061427701</v>
      </c>
    </row>
    <row r="58" customFormat="false" ht="15" hidden="false" customHeight="false" outlineLevel="0" collapsed="false">
      <c r="A58" s="12" t="n">
        <v>1967</v>
      </c>
      <c r="B58" s="12" t="n">
        <v>9</v>
      </c>
      <c r="C58" s="13" t="n">
        <v>2.09736666666667</v>
      </c>
      <c r="D58" s="13" t="n">
        <v>1.10371485726174</v>
      </c>
      <c r="E58" s="13" t="n">
        <v>0.993651809404932</v>
      </c>
      <c r="F58" s="13" t="n">
        <v>-0.0949108128830852</v>
      </c>
      <c r="G58" s="13" t="n">
        <v>-0.0571015968301207</v>
      </c>
      <c r="H58" s="13" t="n">
        <v>0.0323194252965614</v>
      </c>
      <c r="I58" s="13" t="n">
        <v>-0.041648670750161</v>
      </c>
      <c r="J58" s="13" t="n">
        <v>-0.120004883383404</v>
      </c>
      <c r="K58" s="13" t="n">
        <v>1.27499834795514</v>
      </c>
    </row>
    <row r="59" customFormat="false" ht="15" hidden="false" customHeight="false" outlineLevel="0" collapsed="false">
      <c r="A59" s="12" t="n">
        <v>1967</v>
      </c>
      <c r="B59" s="12" t="n">
        <v>10</v>
      </c>
      <c r="C59" s="13" t="n">
        <v>2.59770967741936</v>
      </c>
      <c r="D59" s="13" t="n">
        <v>1.45094557642581</v>
      </c>
      <c r="E59" s="13" t="n">
        <v>1.14676410099354</v>
      </c>
      <c r="F59" s="13" t="n">
        <v>0.029466282207104</v>
      </c>
      <c r="G59" s="13" t="n">
        <v>-0.0134934401972762</v>
      </c>
      <c r="H59" s="13" t="n">
        <v>0.0316093381534717</v>
      </c>
      <c r="I59" s="13" t="n">
        <v>-0.0380513423537493</v>
      </c>
      <c r="J59" s="13" t="n">
        <v>-0.137677316743238</v>
      </c>
      <c r="K59" s="13" t="n">
        <v>1.27491057992723</v>
      </c>
    </row>
    <row r="60" customFormat="false" ht="15" hidden="false" customHeight="false" outlineLevel="0" collapsed="false">
      <c r="A60" s="12" t="n">
        <v>1967</v>
      </c>
      <c r="B60" s="12" t="n">
        <v>11</v>
      </c>
      <c r="C60" s="13" t="n">
        <v>2.69536666666667</v>
      </c>
      <c r="D60" s="13" t="n">
        <v>1.52324285893105</v>
      </c>
      <c r="E60" s="13" t="n">
        <v>1.17212380773561</v>
      </c>
      <c r="F60" s="13" t="n">
        <v>0.0174994361218683</v>
      </c>
      <c r="G60" s="13" t="n">
        <v>0.0432617119238621</v>
      </c>
      <c r="H60" s="13" t="n">
        <v>0.0250214370973899</v>
      </c>
      <c r="I60" s="13" t="n">
        <v>-0.0295056779647301</v>
      </c>
      <c r="J60" s="13" t="n">
        <v>-0.152687657445424</v>
      </c>
      <c r="K60" s="13" t="n">
        <v>1.26853455800265</v>
      </c>
    </row>
    <row r="61" customFormat="false" ht="15" hidden="false" customHeight="false" outlineLevel="0" collapsed="false">
      <c r="A61" s="12" t="n">
        <v>1967</v>
      </c>
      <c r="B61" s="12" t="n">
        <v>12</v>
      </c>
      <c r="C61" s="13" t="n">
        <v>2.56309677419355</v>
      </c>
      <c r="D61" s="13" t="n">
        <v>1.37160710076569</v>
      </c>
      <c r="E61" s="13" t="n">
        <v>1.19148967342786</v>
      </c>
      <c r="F61" s="13" t="n">
        <v>0.0234433062130882</v>
      </c>
      <c r="G61" s="13" t="n">
        <v>0.0726630351746213</v>
      </c>
      <c r="H61" s="13" t="n">
        <v>0.0148603532283891</v>
      </c>
      <c r="I61" s="13" t="n">
        <v>-0.016875644125439</v>
      </c>
      <c r="J61" s="13" t="n">
        <v>-0.165040808271297</v>
      </c>
      <c r="K61" s="13" t="n">
        <v>1.2624394312085</v>
      </c>
    </row>
    <row r="62" customFormat="false" ht="15" hidden="false" customHeight="false" outlineLevel="0" collapsed="false">
      <c r="A62" s="12" t="n">
        <v>1968</v>
      </c>
      <c r="B62" s="12" t="n">
        <v>1</v>
      </c>
      <c r="C62" s="13" t="n">
        <v>2.43496774193548</v>
      </c>
      <c r="D62" s="13" t="n">
        <v>1.34954182204549</v>
      </c>
      <c r="E62" s="13" t="n">
        <v>1.08542591989</v>
      </c>
      <c r="F62" s="13" t="n">
        <v>-0.0559135544817668</v>
      </c>
      <c r="G62" s="13" t="n">
        <v>0.0497906131737699</v>
      </c>
      <c r="H62" s="13" t="n">
        <v>0.00385002426291082</v>
      </c>
      <c r="I62" s="13" t="n">
        <v>-0.00153148990902732</v>
      </c>
      <c r="J62" s="13" t="n">
        <v>-0.174789839870193</v>
      </c>
      <c r="K62" s="13" t="n">
        <v>1.26402016671431</v>
      </c>
    </row>
    <row r="63" customFormat="false" ht="15" hidden="false" customHeight="false" outlineLevel="0" collapsed="false">
      <c r="A63" s="12" t="n">
        <v>1968</v>
      </c>
      <c r="B63" s="12" t="n">
        <v>2</v>
      </c>
      <c r="C63" s="13" t="n">
        <v>2.68203448275862</v>
      </c>
      <c r="D63" s="13" t="n">
        <v>1.51165948045268</v>
      </c>
      <c r="E63" s="13" t="n">
        <v>1.17037500230594</v>
      </c>
      <c r="F63" s="13" t="n">
        <v>0.0844983386296761</v>
      </c>
      <c r="G63" s="13" t="n">
        <v>-0.0171400972104464</v>
      </c>
      <c r="H63" s="13" t="n">
        <v>-0.00558580192098727</v>
      </c>
      <c r="I63" s="13" t="n">
        <v>0.0147977398077246</v>
      </c>
      <c r="J63" s="13" t="n">
        <v>-0.182025102649027</v>
      </c>
      <c r="K63" s="13" t="n">
        <v>1.275829925649</v>
      </c>
    </row>
    <row r="64" customFormat="false" ht="15" hidden="false" customHeight="false" outlineLevel="0" collapsed="false">
      <c r="A64" s="12" t="n">
        <v>1968</v>
      </c>
      <c r="B64" s="12" t="n">
        <v>3</v>
      </c>
      <c r="C64" s="13" t="n">
        <v>2.57151612903226</v>
      </c>
      <c r="D64" s="13" t="n">
        <v>1.67366331844548</v>
      </c>
      <c r="E64" s="13" t="n">
        <v>0.897852810586774</v>
      </c>
      <c r="F64" s="13" t="n">
        <v>-0.136290653618859</v>
      </c>
      <c r="G64" s="13" t="n">
        <v>-0.0881534230066608</v>
      </c>
      <c r="H64" s="13" t="n">
        <v>-0.0118742861882194</v>
      </c>
      <c r="I64" s="13" t="n">
        <v>0.0302153419580998</v>
      </c>
      <c r="J64" s="13" t="n">
        <v>-0.186864275488929</v>
      </c>
      <c r="K64" s="13" t="n">
        <v>1.29082010693134</v>
      </c>
    </row>
    <row r="65" customFormat="false" ht="15" hidden="false" customHeight="false" outlineLevel="0" collapsed="false">
      <c r="A65" s="12" t="n">
        <v>1968</v>
      </c>
      <c r="B65" s="12" t="n">
        <v>4</v>
      </c>
      <c r="C65" s="13" t="n">
        <v>2.9438</v>
      </c>
      <c r="D65" s="13" t="n">
        <v>1.76013858639753</v>
      </c>
      <c r="E65" s="13" t="n">
        <v>1.18366141360248</v>
      </c>
      <c r="F65" s="13" t="n">
        <v>0.161676019425504</v>
      </c>
      <c r="G65" s="13" t="n">
        <v>-0.113824218316061</v>
      </c>
      <c r="H65" s="13" t="n">
        <v>-0.0145447571123937</v>
      </c>
      <c r="I65" s="13" t="n">
        <v>0.0428708780157216</v>
      </c>
      <c r="J65" s="13" t="n">
        <v>-0.189444148024174</v>
      </c>
      <c r="K65" s="13" t="n">
        <v>1.29692763961388</v>
      </c>
    </row>
    <row r="66" customFormat="false" ht="15" hidden="false" customHeight="false" outlineLevel="0" collapsed="false">
      <c r="A66" s="12" t="n">
        <v>1968</v>
      </c>
      <c r="B66" s="12" t="n">
        <v>5</v>
      </c>
      <c r="C66" s="13" t="n">
        <v>2.52925806451613</v>
      </c>
      <c r="D66" s="13" t="n">
        <v>1.53188092611559</v>
      </c>
      <c r="E66" s="13" t="n">
        <v>0.997377138400538</v>
      </c>
      <c r="F66" s="13" t="n">
        <v>-0.0708274998501927</v>
      </c>
      <c r="G66" s="13" t="n">
        <v>-0.0678401063264274</v>
      </c>
      <c r="H66" s="13" t="n">
        <v>-0.0141421619558431</v>
      </c>
      <c r="I66" s="13" t="n">
        <v>0.051173191021244</v>
      </c>
      <c r="J66" s="13" t="n">
        <v>-0.189914683470345</v>
      </c>
      <c r="K66" s="13" t="n">
        <v>1.2889283989821</v>
      </c>
    </row>
    <row r="67" customFormat="false" ht="15" hidden="false" customHeight="false" outlineLevel="0" collapsed="false">
      <c r="A67" s="12" t="n">
        <v>1968</v>
      </c>
      <c r="B67" s="12" t="n">
        <v>6</v>
      </c>
      <c r="C67" s="13" t="n">
        <v>2.05926666666667</v>
      </c>
      <c r="D67" s="13" t="n">
        <v>0.970583250851802</v>
      </c>
      <c r="E67" s="13" t="n">
        <v>1.08868341581487</v>
      </c>
      <c r="F67" s="13" t="n">
        <v>-0.0698078150778476</v>
      </c>
      <c r="G67" s="13" t="n">
        <v>0.0306401536420359</v>
      </c>
      <c r="H67" s="13" t="n">
        <v>-0.0118622742331123</v>
      </c>
      <c r="I67" s="13" t="n">
        <v>0.0539785928493399</v>
      </c>
      <c r="J67" s="13" t="n">
        <v>-0.188435728988077</v>
      </c>
      <c r="K67" s="13" t="n">
        <v>1.27417048762253</v>
      </c>
    </row>
    <row r="68" customFormat="false" ht="15" hidden="false" customHeight="false" outlineLevel="0" collapsed="false">
      <c r="A68" s="12" t="n">
        <v>1968</v>
      </c>
      <c r="B68" s="12" t="n">
        <v>7</v>
      </c>
      <c r="C68" s="13" t="n">
        <v>1.90596774193548</v>
      </c>
      <c r="D68" s="13" t="n">
        <v>0.652024432091231</v>
      </c>
      <c r="E68" s="13" t="n">
        <v>1.25394330984425</v>
      </c>
      <c r="F68" s="13" t="n">
        <v>0.00892148212519988</v>
      </c>
      <c r="G68" s="13" t="n">
        <v>0.123233544836329</v>
      </c>
      <c r="H68" s="13" t="n">
        <v>-0.00904409812435349</v>
      </c>
      <c r="I68" s="13" t="n">
        <v>0.0507327090737227</v>
      </c>
      <c r="J68" s="13" t="n">
        <v>-0.185176611068595</v>
      </c>
      <c r="K68" s="13" t="n">
        <v>1.26527628300195</v>
      </c>
    </row>
    <row r="69" customFormat="false" ht="15" hidden="false" customHeight="false" outlineLevel="0" collapsed="false">
      <c r="A69" s="12" t="n">
        <v>1968</v>
      </c>
      <c r="B69" s="12" t="n">
        <v>8</v>
      </c>
      <c r="C69" s="13" t="n">
        <v>2.26467741935484</v>
      </c>
      <c r="D69" s="13" t="n">
        <v>0.860420225492035</v>
      </c>
      <c r="E69" s="13" t="n">
        <v>1.4042571938628</v>
      </c>
      <c r="F69" s="13" t="n">
        <v>0.132310922730474</v>
      </c>
      <c r="G69" s="13" t="n">
        <v>0.148272272727815</v>
      </c>
      <c r="H69" s="13" t="n">
        <v>-0.00668798745472015</v>
      </c>
      <c r="I69" s="13" t="n">
        <v>0.0415492886428823</v>
      </c>
      <c r="J69" s="13" t="n">
        <v>-0.180318703316222</v>
      </c>
      <c r="K69" s="13" t="n">
        <v>1.26913140053258</v>
      </c>
    </row>
    <row r="70" customFormat="false" ht="15" hidden="false" customHeight="false" outlineLevel="0" collapsed="false">
      <c r="A70" s="12" t="n">
        <v>1968</v>
      </c>
      <c r="B70" s="12" t="n">
        <v>9</v>
      </c>
      <c r="C70" s="13" t="n">
        <v>2.4372</v>
      </c>
      <c r="D70" s="13" t="n">
        <v>1.28680428817367</v>
      </c>
      <c r="E70" s="13" t="n">
        <v>1.15039571182633</v>
      </c>
      <c r="F70" s="13" t="n">
        <v>-0.0647856123379271</v>
      </c>
      <c r="G70" s="13" t="n">
        <v>0.0843330190272796</v>
      </c>
      <c r="H70" s="13" t="n">
        <v>-0.0051500966728597</v>
      </c>
      <c r="I70" s="13" t="n">
        <v>0.0272160117942432</v>
      </c>
      <c r="J70" s="13" t="n">
        <v>-0.174060792159243</v>
      </c>
      <c r="K70" s="13" t="n">
        <v>1.28284318217484</v>
      </c>
    </row>
    <row r="71" customFormat="false" ht="15" hidden="false" customHeight="false" outlineLevel="0" collapsed="false">
      <c r="A71" s="12" t="n">
        <v>1968</v>
      </c>
      <c r="B71" s="12" t="n">
        <v>10</v>
      </c>
      <c r="C71" s="13" t="n">
        <v>2.67222580645161</v>
      </c>
      <c r="D71" s="13" t="n">
        <v>1.63492204304458</v>
      </c>
      <c r="E71" s="13" t="n">
        <v>1.03730376340703</v>
      </c>
      <c r="F71" s="13" t="n">
        <v>-0.0664882971829289</v>
      </c>
      <c r="G71" s="13" t="n">
        <v>-0.0310223516476181</v>
      </c>
      <c r="H71" s="13" t="n">
        <v>-0.00410148262938438</v>
      </c>
      <c r="I71" s="13" t="n">
        <v>0.00912524646500772</v>
      </c>
      <c r="J71" s="13" t="n">
        <v>-0.166626614102799</v>
      </c>
      <c r="K71" s="13" t="n">
        <v>1.29641726250476</v>
      </c>
    </row>
    <row r="72" customFormat="false" ht="15" hidden="false" customHeight="false" outlineLevel="0" collapsed="false">
      <c r="A72" s="12" t="n">
        <v>1968</v>
      </c>
      <c r="B72" s="12" t="n">
        <v>11</v>
      </c>
      <c r="C72" s="13" t="n">
        <v>2.79956666666667</v>
      </c>
      <c r="D72" s="13" t="n">
        <v>1.70781305485422</v>
      </c>
      <c r="E72" s="13" t="n">
        <v>1.09175361181245</v>
      </c>
      <c r="F72" s="13" t="n">
        <v>0.0886557005702695</v>
      </c>
      <c r="G72" s="13" t="n">
        <v>-0.12465166945125</v>
      </c>
      <c r="H72" s="13" t="n">
        <v>-0.00275283335771286</v>
      </c>
      <c r="I72" s="13" t="n">
        <v>-0.0108640427031216</v>
      </c>
      <c r="J72" s="13" t="n">
        <v>-0.158273325299771</v>
      </c>
      <c r="K72" s="13" t="n">
        <v>1.29963978205404</v>
      </c>
    </row>
    <row r="73" customFormat="false" ht="15" hidden="false" customHeight="false" outlineLevel="0" collapsed="false">
      <c r="A73" s="12" t="n">
        <v>1968</v>
      </c>
      <c r="B73" s="12" t="n">
        <v>12</v>
      </c>
      <c r="C73" s="13" t="n">
        <v>2.55122580645161</v>
      </c>
      <c r="D73" s="13" t="n">
        <v>1.55648266809602</v>
      </c>
      <c r="E73" s="13" t="n">
        <v>0.994743138355589</v>
      </c>
      <c r="F73" s="13" t="n">
        <v>0.0224626919870271</v>
      </c>
      <c r="G73" s="13" t="n">
        <v>-0.138811732171855</v>
      </c>
      <c r="H73" s="13" t="n">
        <v>-0.000259899749237981</v>
      </c>
      <c r="I73" s="13" t="n">
        <v>-0.0306193377708647</v>
      </c>
      <c r="J73" s="13" t="n">
        <v>-0.149299096859096</v>
      </c>
      <c r="K73" s="13" t="n">
        <v>1.29127051291962</v>
      </c>
    </row>
    <row r="74" customFormat="false" ht="15" hidden="false" customHeight="false" outlineLevel="0" collapsed="false">
      <c r="A74" s="12" t="n">
        <v>1969</v>
      </c>
      <c r="B74" s="12" t="n">
        <v>1</v>
      </c>
      <c r="C74" s="13" t="n">
        <v>2.40132258064516</v>
      </c>
      <c r="D74" s="13" t="n">
        <v>1.53444002986282</v>
      </c>
      <c r="E74" s="13" t="n">
        <v>0.86688255078234</v>
      </c>
      <c r="F74" s="13" t="n">
        <v>-0.158134488639193</v>
      </c>
      <c r="G74" s="13" t="n">
        <v>-0.0717113019773445</v>
      </c>
      <c r="H74" s="13" t="n">
        <v>0.00383389623800344</v>
      </c>
      <c r="I74" s="13" t="n">
        <v>-0.0479623890201654</v>
      </c>
      <c r="J74" s="13" t="n">
        <v>-0.140047774692884</v>
      </c>
      <c r="K74" s="13" t="n">
        <v>1.28090460887392</v>
      </c>
    </row>
    <row r="75" customFormat="false" ht="15" hidden="false" customHeight="false" outlineLevel="0" collapsed="false">
      <c r="A75" s="12" t="n">
        <v>1969</v>
      </c>
      <c r="B75" s="12" t="n">
        <v>2</v>
      </c>
      <c r="C75" s="13" t="n">
        <v>2.85067857142857</v>
      </c>
      <c r="D75" s="13" t="n">
        <v>1.69630388025939</v>
      </c>
      <c r="E75" s="13" t="n">
        <v>1.15437469116919</v>
      </c>
      <c r="F75" s="13" t="n">
        <v>0.0353271625645531</v>
      </c>
      <c r="G75" s="13" t="n">
        <v>0.0240874576672889</v>
      </c>
      <c r="H75" s="13" t="n">
        <v>0.00927488061098191</v>
      </c>
      <c r="I75" s="13" t="n">
        <v>-0.0609074768473154</v>
      </c>
      <c r="J75" s="13" t="n">
        <v>-0.130908737229611</v>
      </c>
      <c r="K75" s="13" t="n">
        <v>1.27750140440329</v>
      </c>
    </row>
    <row r="76" customFormat="false" ht="15" hidden="false" customHeight="false" outlineLevel="0" collapsed="false">
      <c r="A76" s="12" t="n">
        <v>1969</v>
      </c>
      <c r="B76" s="12" t="n">
        <v>3</v>
      </c>
      <c r="C76" s="13" t="n">
        <v>3.15974193548387</v>
      </c>
      <c r="D76" s="13" t="n">
        <v>1.85778437471068</v>
      </c>
      <c r="E76" s="13" t="n">
        <v>1.30195756077319</v>
      </c>
      <c r="F76" s="13" t="n">
        <v>0.114180165172355</v>
      </c>
      <c r="G76" s="13" t="n">
        <v>0.0839560849223055</v>
      </c>
      <c r="H76" s="13" t="n">
        <v>0.0150182724173679</v>
      </c>
      <c r="I76" s="13" t="n">
        <v>-0.0678842105395209</v>
      </c>
      <c r="J76" s="13" t="n">
        <v>-0.122310687873551</v>
      </c>
      <c r="K76" s="13" t="n">
        <v>1.27899793667423</v>
      </c>
    </row>
    <row r="77" customFormat="false" ht="15" hidden="false" customHeight="false" outlineLevel="0" collapsed="false">
      <c r="A77" s="12" t="n">
        <v>1969</v>
      </c>
      <c r="B77" s="12" t="n">
        <v>4</v>
      </c>
      <c r="C77" s="13" t="n">
        <v>3.18253333333333</v>
      </c>
      <c r="D77" s="13" t="n">
        <v>1.94347428038359</v>
      </c>
      <c r="E77" s="13" t="n">
        <v>1.23905905294974</v>
      </c>
      <c r="F77" s="13" t="n">
        <v>0.044372584780717</v>
      </c>
      <c r="G77" s="13" t="n">
        <v>0.0794181743565534</v>
      </c>
      <c r="H77" s="13" t="n">
        <v>0.0194363854477364</v>
      </c>
      <c r="I77" s="13" t="n">
        <v>-0.0679201972013455</v>
      </c>
      <c r="J77" s="13" t="n">
        <v>-0.114708965441112</v>
      </c>
      <c r="K77" s="13" t="n">
        <v>1.27846107100719</v>
      </c>
    </row>
    <row r="78" customFormat="false" ht="15" hidden="false" customHeight="false" outlineLevel="0" collapsed="false">
      <c r="A78" s="12" t="n">
        <v>1969</v>
      </c>
      <c r="B78" s="12" t="n">
        <v>5</v>
      </c>
      <c r="C78" s="13" t="n">
        <v>2.77706451612903</v>
      </c>
      <c r="D78" s="13" t="n">
        <v>1.71417733129052</v>
      </c>
      <c r="E78" s="13" t="n">
        <v>1.06288718483851</v>
      </c>
      <c r="F78" s="13" t="n">
        <v>-0.0976455246871093</v>
      </c>
      <c r="G78" s="13" t="n">
        <v>0.0332421468168854</v>
      </c>
      <c r="H78" s="13" t="n">
        <v>0.0207718669142847</v>
      </c>
      <c r="I78" s="13" t="n">
        <v>-0.0607628561872618</v>
      </c>
      <c r="J78" s="13" t="n">
        <v>-0.108566793279527</v>
      </c>
      <c r="K78" s="13" t="n">
        <v>1.27584834526124</v>
      </c>
    </row>
    <row r="79" customFormat="false" ht="15" hidden="false" customHeight="false" outlineLevel="0" collapsed="false">
      <c r="A79" s="12" t="n">
        <v>1969</v>
      </c>
      <c r="B79" s="12" t="n">
        <v>6</v>
      </c>
      <c r="C79" s="13" t="n">
        <v>2.20883333333333</v>
      </c>
      <c r="D79" s="13" t="n">
        <v>1.15159507825949</v>
      </c>
      <c r="E79" s="13" t="n">
        <v>1.05723825507384</v>
      </c>
      <c r="F79" s="13" t="n">
        <v>-0.0766918867738982</v>
      </c>
      <c r="G79" s="13" t="n">
        <v>-0.00813899339086559</v>
      </c>
      <c r="H79" s="13" t="n">
        <v>0.0177107062299377</v>
      </c>
      <c r="I79" s="13" t="n">
        <v>-0.0469259101352694</v>
      </c>
      <c r="J79" s="13" t="n">
        <v>-0.104331499342553</v>
      </c>
      <c r="K79" s="13" t="n">
        <v>1.27561583848649</v>
      </c>
    </row>
    <row r="80" customFormat="false" ht="15" hidden="false" customHeight="false" outlineLevel="0" collapsed="false">
      <c r="A80" s="12" t="n">
        <v>1969</v>
      </c>
      <c r="B80" s="12" t="n">
        <v>7</v>
      </c>
      <c r="C80" s="13" t="n">
        <v>2.04325806451613</v>
      </c>
      <c r="D80" s="13" t="n">
        <v>0.831515544146724</v>
      </c>
      <c r="E80" s="13" t="n">
        <v>1.21174252036941</v>
      </c>
      <c r="F80" s="13" t="n">
        <v>0.0738547428949851</v>
      </c>
      <c r="G80" s="13" t="n">
        <v>-0.0172393176699899</v>
      </c>
      <c r="H80" s="13" t="n">
        <v>0.00990306126048132</v>
      </c>
      <c r="I80" s="13" t="n">
        <v>-0.0276540062713625</v>
      </c>
      <c r="J80" s="13" t="n">
        <v>-0.102407108942386</v>
      </c>
      <c r="K80" s="13" t="n">
        <v>1.27528514909768</v>
      </c>
    </row>
    <row r="81" customFormat="false" ht="15" hidden="false" customHeight="false" outlineLevel="0" collapsed="false">
      <c r="A81" s="12" t="n">
        <v>1969</v>
      </c>
      <c r="B81" s="12" t="n">
        <v>8</v>
      </c>
      <c r="C81" s="13" t="n">
        <v>2.13812903225806</v>
      </c>
      <c r="D81" s="13" t="n">
        <v>1.0381641168127</v>
      </c>
      <c r="E81" s="13" t="n">
        <v>1.09996491544536</v>
      </c>
      <c r="F81" s="13" t="n">
        <v>-0.0517254395228999</v>
      </c>
      <c r="G81" s="13" t="n">
        <v>-0.00459251775979161</v>
      </c>
      <c r="H81" s="13" t="n">
        <v>-0.00173732731846457</v>
      </c>
      <c r="I81" s="13" t="n">
        <v>-0.00480767611664769</v>
      </c>
      <c r="J81" s="13" t="n">
        <v>-0.103124993516476</v>
      </c>
      <c r="K81" s="13" t="n">
        <v>1.26595286967964</v>
      </c>
    </row>
    <row r="82" customFormat="false" ht="15" hidden="false" customHeight="false" outlineLevel="0" collapsed="false">
      <c r="A82" s="12" t="n">
        <v>1969</v>
      </c>
      <c r="B82" s="12" t="n">
        <v>9</v>
      </c>
      <c r="C82" s="13" t="n">
        <v>2.75876666666667</v>
      </c>
      <c r="D82" s="13" t="n">
        <v>1.46258453210512</v>
      </c>
      <c r="E82" s="13" t="n">
        <v>1.29618213456155</v>
      </c>
      <c r="F82" s="13" t="n">
        <v>0.152103999566052</v>
      </c>
      <c r="G82" s="13" t="n">
        <v>-0.000221113801057599</v>
      </c>
      <c r="H82" s="13" t="n">
        <v>-0.0150712101724566</v>
      </c>
      <c r="I82" s="13" t="n">
        <v>0.0193205073119903</v>
      </c>
      <c r="J82" s="13" t="n">
        <v>-0.106714553970817</v>
      </c>
      <c r="K82" s="13" t="n">
        <v>1.24676450562784</v>
      </c>
    </row>
    <row r="83" customFormat="false" ht="15" hidden="false" customHeight="false" outlineLevel="0" collapsed="false">
      <c r="A83" s="12" t="n">
        <v>1969</v>
      </c>
      <c r="B83" s="12" t="n">
        <v>10</v>
      </c>
      <c r="C83" s="13" t="n">
        <v>2.88467741935484</v>
      </c>
      <c r="D83" s="13" t="n">
        <v>1.80853270269555</v>
      </c>
      <c r="E83" s="13" t="n">
        <v>1.07614471665929</v>
      </c>
      <c r="F83" s="13" t="n">
        <v>-0.0385317869917844</v>
      </c>
      <c r="G83" s="13" t="n">
        <v>-0.0189582079294942</v>
      </c>
      <c r="H83" s="13" t="n">
        <v>-0.0271351383494709</v>
      </c>
      <c r="I83" s="13" t="n">
        <v>0.0422401045132888</v>
      </c>
      <c r="J83" s="13" t="n">
        <v>-0.113276159359208</v>
      </c>
      <c r="K83" s="13" t="n">
        <v>1.23180590477596</v>
      </c>
    </row>
    <row r="84" customFormat="false" ht="15" hidden="false" customHeight="false" outlineLevel="0" collapsed="false">
      <c r="A84" s="12" t="n">
        <v>1969</v>
      </c>
      <c r="B84" s="12" t="n">
        <v>11</v>
      </c>
      <c r="C84" s="13" t="n">
        <v>2.85276666666667</v>
      </c>
      <c r="D84" s="13" t="n">
        <v>1.87905905756289</v>
      </c>
      <c r="E84" s="13" t="n">
        <v>0.973707609103778</v>
      </c>
      <c r="F84" s="13" t="n">
        <v>-0.121275680926896</v>
      </c>
      <c r="G84" s="13" t="n">
        <v>-0.0440766115813466</v>
      </c>
      <c r="H84" s="13" t="n">
        <v>-0.0348283912705415</v>
      </c>
      <c r="I84" s="13" t="n">
        <v>0.0615231110378059</v>
      </c>
      <c r="J84" s="13" t="n">
        <v>-0.122758626347785</v>
      </c>
      <c r="K84" s="13" t="n">
        <v>1.23512380819254</v>
      </c>
    </row>
    <row r="85" customFormat="false" ht="15" hidden="false" customHeight="false" outlineLevel="0" collapsed="false">
      <c r="A85" s="12" t="n">
        <v>1969</v>
      </c>
      <c r="B85" s="12" t="n">
        <v>12</v>
      </c>
      <c r="C85" s="13" t="n">
        <v>2.82964516129032</v>
      </c>
      <c r="D85" s="13" t="n">
        <v>1.72518014235077</v>
      </c>
      <c r="E85" s="13" t="n">
        <v>1.10446501893955</v>
      </c>
      <c r="F85" s="13" t="n">
        <v>-0.00629195664047605</v>
      </c>
      <c r="G85" s="13" t="n">
        <v>-0.0439128395782184</v>
      </c>
      <c r="H85" s="13" t="n">
        <v>-0.0357201656474371</v>
      </c>
      <c r="I85" s="13" t="n">
        <v>0.0750629646609932</v>
      </c>
      <c r="J85" s="13" t="n">
        <v>-0.134943379841998</v>
      </c>
      <c r="K85" s="13" t="n">
        <v>1.25027039598669</v>
      </c>
    </row>
    <row r="86" customFormat="false" ht="15" hidden="false" customHeight="false" outlineLevel="0" collapsed="false">
      <c r="A86" s="12" t="n">
        <v>1970</v>
      </c>
      <c r="B86" s="12" t="n">
        <v>1</v>
      </c>
      <c r="C86" s="13" t="n">
        <v>2.96387096774194</v>
      </c>
      <c r="D86" s="13" t="n">
        <v>1.70041660383522</v>
      </c>
      <c r="E86" s="13" t="n">
        <v>1.26345436390672</v>
      </c>
      <c r="F86" s="13" t="n">
        <v>0.111178828483446</v>
      </c>
      <c r="G86" s="13" t="n">
        <v>-0.00452470235400812</v>
      </c>
      <c r="H86" s="13" t="n">
        <v>-0.0287649175392278</v>
      </c>
      <c r="I86" s="13" t="n">
        <v>0.0813045232836252</v>
      </c>
      <c r="J86" s="13" t="n">
        <v>-0.149437158375827</v>
      </c>
      <c r="K86" s="13" t="n">
        <v>1.25369779040871</v>
      </c>
    </row>
    <row r="87" customFormat="false" ht="15" hidden="false" customHeight="false" outlineLevel="0" collapsed="false">
      <c r="A87" s="12" t="n">
        <v>1970</v>
      </c>
      <c r="B87" s="12" t="n">
        <v>2</v>
      </c>
      <c r="C87" s="13" t="n">
        <v>3.04389285714286</v>
      </c>
      <c r="D87" s="13" t="n">
        <v>1.85939894123846</v>
      </c>
      <c r="E87" s="13" t="n">
        <v>1.1844939159044</v>
      </c>
      <c r="F87" s="13" t="n">
        <v>0.000267915128726433</v>
      </c>
      <c r="G87" s="13" t="n">
        <v>0.0524964017501001</v>
      </c>
      <c r="H87" s="13" t="n">
        <v>-0.0147229748982717</v>
      </c>
      <c r="I87" s="13" t="n">
        <v>0.0794199393692029</v>
      </c>
      <c r="J87" s="13" t="n">
        <v>-0.165674789144599</v>
      </c>
      <c r="K87" s="13" t="n">
        <v>1.23270742369924</v>
      </c>
    </row>
    <row r="88" customFormat="false" ht="15" hidden="false" customHeight="false" outlineLevel="0" collapsed="false">
      <c r="A88" s="12" t="n">
        <v>1970</v>
      </c>
      <c r="B88" s="12" t="n">
        <v>3</v>
      </c>
      <c r="C88" s="13" t="n">
        <v>3.12964516129032</v>
      </c>
      <c r="D88" s="13" t="n">
        <v>2.01784928882843</v>
      </c>
      <c r="E88" s="13" t="n">
        <v>1.11179587246189</v>
      </c>
      <c r="F88" s="13" t="n">
        <v>-0.065426733056529</v>
      </c>
      <c r="G88" s="13" t="n">
        <v>0.0836946819655622</v>
      </c>
      <c r="H88" s="13" t="n">
        <v>0.00385109884876392</v>
      </c>
      <c r="I88" s="13" t="n">
        <v>0.0694107468334211</v>
      </c>
      <c r="J88" s="13" t="n">
        <v>-0.182933102298247</v>
      </c>
      <c r="K88" s="13" t="n">
        <v>1.20319918016892</v>
      </c>
    </row>
    <row r="89" customFormat="false" ht="15" hidden="false" customHeight="false" outlineLevel="0" collapsed="false">
      <c r="A89" s="12" t="n">
        <v>1970</v>
      </c>
      <c r="B89" s="12" t="n">
        <v>4</v>
      </c>
      <c r="C89" s="13" t="n">
        <v>3.25446666666667</v>
      </c>
      <c r="D89" s="13" t="n">
        <v>2.10037257217992</v>
      </c>
      <c r="E89" s="13" t="n">
        <v>1.15409409448674</v>
      </c>
      <c r="F89" s="13" t="n">
        <v>0.0285136133367646</v>
      </c>
      <c r="G89" s="13" t="n">
        <v>0.0581772102324476</v>
      </c>
      <c r="H89" s="13" t="n">
        <v>0.0230835075824912</v>
      </c>
      <c r="I89" s="13" t="n">
        <v>0.0521240539619447</v>
      </c>
      <c r="J89" s="13" t="n">
        <v>-0.200356360133043</v>
      </c>
      <c r="K89" s="13" t="n">
        <v>1.19255206950614</v>
      </c>
    </row>
    <row r="90" customFormat="false" ht="15" hidden="false" customHeight="false" outlineLevel="0" collapsed="false">
      <c r="A90" s="12" t="n">
        <v>1970</v>
      </c>
      <c r="B90" s="12" t="n">
        <v>5</v>
      </c>
      <c r="C90" s="13" t="n">
        <v>2.87064516129032</v>
      </c>
      <c r="D90" s="13" t="n">
        <v>1.86778482276994</v>
      </c>
      <c r="E90" s="13" t="n">
        <v>1.00286033852038</v>
      </c>
      <c r="F90" s="13" t="n">
        <v>-0.0408719058342281</v>
      </c>
      <c r="G90" s="13" t="n">
        <v>-0.0149356190838291</v>
      </c>
      <c r="H90" s="13" t="n">
        <v>0.0386299449092005</v>
      </c>
      <c r="I90" s="13" t="n">
        <v>0.0291797172817264</v>
      </c>
      <c r="J90" s="13" t="n">
        <v>-0.21699262851727</v>
      </c>
      <c r="K90" s="13" t="n">
        <v>1.20785082976478</v>
      </c>
    </row>
    <row r="91" customFormat="false" ht="15" hidden="false" customHeight="false" outlineLevel="0" collapsed="false">
      <c r="A91" s="12" t="n">
        <v>1970</v>
      </c>
      <c r="B91" s="12" t="n">
        <v>6</v>
      </c>
      <c r="C91" s="13" t="n">
        <v>2.31143333333333</v>
      </c>
      <c r="D91" s="13" t="n">
        <v>1.3017999872294</v>
      </c>
      <c r="E91" s="13" t="n">
        <v>1.00963334610393</v>
      </c>
      <c r="F91" s="13" t="n">
        <v>0.0522594535285503</v>
      </c>
      <c r="G91" s="13" t="n">
        <v>-0.0884624674078203</v>
      </c>
      <c r="H91" s="13" t="n">
        <v>0.0467047375841216</v>
      </c>
      <c r="I91" s="13" t="n">
        <v>0.00281481171938201</v>
      </c>
      <c r="J91" s="13" t="n">
        <v>-0.231839456682683</v>
      </c>
      <c r="K91" s="13" t="n">
        <v>1.22815626736238</v>
      </c>
    </row>
    <row r="92" customFormat="false" ht="15" hidden="false" customHeight="false" outlineLevel="0" collapsed="false">
      <c r="A92" s="12" t="n">
        <v>1970</v>
      </c>
      <c r="B92" s="12" t="n">
        <v>7</v>
      </c>
      <c r="C92" s="13" t="n">
        <v>1.92854838709677</v>
      </c>
      <c r="D92" s="13" t="n">
        <v>0.978218541776604</v>
      </c>
      <c r="E92" s="13" t="n">
        <v>0.95032984532017</v>
      </c>
      <c r="F92" s="13" t="n">
        <v>0.0535393268437323</v>
      </c>
      <c r="G92" s="13" t="n">
        <v>-0.108918600755759</v>
      </c>
      <c r="H92" s="13" t="n">
        <v>0.0450387231255869</v>
      </c>
      <c r="I92" s="13" t="n">
        <v>-0.0243393937904917</v>
      </c>
      <c r="J92" s="13" t="n">
        <v>-0.243896245216271</v>
      </c>
      <c r="K92" s="13" t="n">
        <v>1.22890603511337</v>
      </c>
    </row>
    <row r="93" customFormat="false" ht="15" hidden="false" customHeight="false" outlineLevel="0" collapsed="false">
      <c r="A93" s="12" t="n">
        <v>1970</v>
      </c>
      <c r="B93" s="12" t="n">
        <v>8</v>
      </c>
      <c r="C93" s="13" t="n">
        <v>1.96535483870968</v>
      </c>
      <c r="D93" s="13" t="n">
        <v>1.18127834443777</v>
      </c>
      <c r="E93" s="13" t="n">
        <v>0.784076494271909</v>
      </c>
      <c r="F93" s="13" t="n">
        <v>-0.100000651421736</v>
      </c>
      <c r="G93" s="13" t="n">
        <v>-0.0559650347823591</v>
      </c>
      <c r="H93" s="13" t="n">
        <v>0.0335184251997165</v>
      </c>
      <c r="I93" s="13" t="n">
        <v>-0.0495253579967681</v>
      </c>
      <c r="J93" s="13" t="n">
        <v>-0.252219913139634</v>
      </c>
      <c r="K93" s="13" t="n">
        <v>1.20826902641269</v>
      </c>
    </row>
    <row r="94" customFormat="false" ht="15" hidden="false" customHeight="false" outlineLevel="0" collapsed="false">
      <c r="A94" s="12" t="n">
        <v>1970</v>
      </c>
      <c r="B94" s="12" t="n">
        <v>9</v>
      </c>
      <c r="C94" s="13" t="n">
        <v>2.49463333333333</v>
      </c>
      <c r="D94" s="13" t="n">
        <v>1.60203557748185</v>
      </c>
      <c r="E94" s="13" t="n">
        <v>0.892597755851483</v>
      </c>
      <c r="F94" s="13" t="n">
        <v>-0.0210473015408988</v>
      </c>
      <c r="G94" s="13" t="n">
        <v>0.0397582835285052</v>
      </c>
      <c r="H94" s="13" t="n">
        <v>0.0143276815088222</v>
      </c>
      <c r="I94" s="13" t="n">
        <v>-0.0701444157946021</v>
      </c>
      <c r="J94" s="13" t="n">
        <v>-0.255980017837121</v>
      </c>
      <c r="K94" s="13" t="n">
        <v>1.18568352598678</v>
      </c>
    </row>
    <row r="95" customFormat="false" ht="15" hidden="false" customHeight="false" outlineLevel="0" collapsed="false">
      <c r="A95" s="12" t="n">
        <v>1970</v>
      </c>
      <c r="B95" s="12" t="n">
        <v>10</v>
      </c>
      <c r="C95" s="13" t="n">
        <v>2.91977419354839</v>
      </c>
      <c r="D95" s="13" t="n">
        <v>1.94425853601403</v>
      </c>
      <c r="E95" s="13" t="n">
        <v>0.975515657534355</v>
      </c>
      <c r="F95" s="13" t="n">
        <v>0.0290813322380848</v>
      </c>
      <c r="G95" s="13" t="n">
        <v>0.11553313258485</v>
      </c>
      <c r="H95" s="13" t="n">
        <v>-0.00846915796220491</v>
      </c>
      <c r="I95" s="13" t="n">
        <v>-0.0840292948188122</v>
      </c>
      <c r="J95" s="13" t="n">
        <v>-0.254509395743627</v>
      </c>
      <c r="K95" s="13" t="n">
        <v>1.17790904123607</v>
      </c>
    </row>
    <row r="96" customFormat="false" ht="15" hidden="false" customHeight="false" outlineLevel="0" collapsed="false">
      <c r="A96" s="12" t="n">
        <v>1970</v>
      </c>
      <c r="B96" s="12" t="n">
        <v>11</v>
      </c>
      <c r="C96" s="13" t="n">
        <v>3.01683333333333</v>
      </c>
      <c r="D96" s="13" t="n">
        <v>2.01100992763986</v>
      </c>
      <c r="E96" s="13" t="n">
        <v>1.00582340569347</v>
      </c>
      <c r="F96" s="13" t="n">
        <v>0.0699675859047776</v>
      </c>
      <c r="G96" s="13" t="n">
        <v>0.120307945071865</v>
      </c>
      <c r="H96" s="13" t="n">
        <v>-0.0298243668544183</v>
      </c>
      <c r="I96" s="13" t="n">
        <v>-0.0896751062732965</v>
      </c>
      <c r="J96" s="13" t="n">
        <v>-0.247346677277575</v>
      </c>
      <c r="K96" s="13" t="n">
        <v>1.18239402512212</v>
      </c>
    </row>
    <row r="97" customFormat="false" ht="15" hidden="false" customHeight="false" outlineLevel="0" collapsed="false">
      <c r="A97" s="12" t="n">
        <v>1970</v>
      </c>
      <c r="B97" s="12" t="n">
        <v>12</v>
      </c>
      <c r="C97" s="13" t="n">
        <v>2.65261290322581</v>
      </c>
      <c r="D97" s="13" t="n">
        <v>1.85331843359479</v>
      </c>
      <c r="E97" s="13" t="n">
        <v>0.79929446963102</v>
      </c>
      <c r="F97" s="13" t="n">
        <v>-0.0707053823109162</v>
      </c>
      <c r="G97" s="13" t="n">
        <v>0.0512608969603294</v>
      </c>
      <c r="H97" s="13" t="n">
        <v>-0.0448811316647344</v>
      </c>
      <c r="I97" s="13" t="n">
        <v>-0.0864039666406281</v>
      </c>
      <c r="J97" s="13" t="n">
        <v>-0.234267594872928</v>
      </c>
      <c r="K97" s="13" t="n">
        <v>1.1842916481599</v>
      </c>
    </row>
    <row r="98" customFormat="false" ht="15" hidden="false" customHeight="false" outlineLevel="0" collapsed="false">
      <c r="A98" s="12" t="n">
        <v>1971</v>
      </c>
      <c r="B98" s="12" t="n">
        <v>1</v>
      </c>
      <c r="C98" s="13" t="n">
        <v>2.76948387096774</v>
      </c>
      <c r="D98" s="13" t="n">
        <v>1.82471665465667</v>
      </c>
      <c r="E98" s="13" t="n">
        <v>0.94476721631107</v>
      </c>
      <c r="F98" s="13" t="n">
        <v>0.155056668510273</v>
      </c>
      <c r="G98" s="13" t="n">
        <v>-0.0449222011481045</v>
      </c>
      <c r="H98" s="13" t="n">
        <v>-0.0501433410717392</v>
      </c>
      <c r="I98" s="13" t="n">
        <v>-0.0744451450718845</v>
      </c>
      <c r="J98" s="13" t="n">
        <v>-0.215302709655902</v>
      </c>
      <c r="K98" s="13" t="n">
        <v>1.17452394474843</v>
      </c>
    </row>
    <row r="99" customFormat="false" ht="15" hidden="false" customHeight="false" outlineLevel="0" collapsed="false">
      <c r="A99" s="12" t="n">
        <v>1971</v>
      </c>
      <c r="B99" s="12" t="n">
        <v>2</v>
      </c>
      <c r="C99" s="13" t="n">
        <v>2.48010714285714</v>
      </c>
      <c r="D99" s="13" t="n">
        <v>1.97984682471885</v>
      </c>
      <c r="E99" s="13" t="n">
        <v>0.500260318138296</v>
      </c>
      <c r="F99" s="13" t="n">
        <v>-0.259847943399136</v>
      </c>
      <c r="G99" s="13" t="n">
        <v>-0.107084370033851</v>
      </c>
      <c r="H99" s="13" t="n">
        <v>-0.0443494154333649</v>
      </c>
      <c r="I99" s="13" t="n">
        <v>-0.0549213670983929</v>
      </c>
      <c r="J99" s="13" t="n">
        <v>-0.190739966782438</v>
      </c>
      <c r="K99" s="13" t="n">
        <v>1.15720338088548</v>
      </c>
    </row>
    <row r="100" customFormat="false" ht="15" hidden="false" customHeight="false" outlineLevel="0" collapsed="false">
      <c r="A100" s="12" t="n">
        <v>1971</v>
      </c>
      <c r="B100" s="12" t="n">
        <v>3</v>
      </c>
      <c r="C100" s="13" t="n">
        <v>3.10025806451613</v>
      </c>
      <c r="D100" s="13" t="n">
        <v>2.13444255658655</v>
      </c>
      <c r="E100" s="13" t="n">
        <v>0.965815507929578</v>
      </c>
      <c r="F100" s="13" t="n">
        <v>0.147716219853452</v>
      </c>
      <c r="G100" s="13" t="n">
        <v>-0.103074652327757</v>
      </c>
      <c r="H100" s="13" t="n">
        <v>-0.0288228446387764</v>
      </c>
      <c r="I100" s="13" t="n">
        <v>-0.0297417281463789</v>
      </c>
      <c r="J100" s="13" t="n">
        <v>-0.161111415989043</v>
      </c>
      <c r="K100" s="13" t="n">
        <v>1.14084992917808</v>
      </c>
    </row>
    <row r="101" customFormat="false" ht="15" hidden="false" customHeight="false" outlineLevel="0" collapsed="false">
      <c r="A101" s="12" t="n">
        <v>1971</v>
      </c>
      <c r="B101" s="12" t="n">
        <v>4</v>
      </c>
      <c r="C101" s="13" t="n">
        <v>3.09063333333333</v>
      </c>
      <c r="D101" s="13" t="n">
        <v>2.2131199624815</v>
      </c>
      <c r="E101" s="13" t="n">
        <v>0.877513370851834</v>
      </c>
      <c r="F101" s="13" t="n">
        <v>-0.0660569149727415</v>
      </c>
      <c r="G101" s="13" t="n">
        <v>-0.0478133341710422</v>
      </c>
      <c r="H101" s="13" t="n">
        <v>-0.00719654906062711</v>
      </c>
      <c r="I101" s="13" t="n">
        <v>-0.0014115439742295</v>
      </c>
      <c r="J101" s="13" t="n">
        <v>-0.127164598147129</v>
      </c>
      <c r="K101" s="13" t="n">
        <v>1.1271563111776</v>
      </c>
    </row>
    <row r="102" customFormat="false" ht="15" hidden="false" customHeight="false" outlineLevel="0" collapsed="false">
      <c r="A102" s="12" t="n">
        <v>1971</v>
      </c>
      <c r="B102" s="12" t="n">
        <v>5</v>
      </c>
      <c r="C102" s="13" t="n">
        <v>3.13854838709677</v>
      </c>
      <c r="D102" s="13" t="n">
        <v>1.97670593403492</v>
      </c>
      <c r="E102" s="13" t="n">
        <v>1.16184245306186</v>
      </c>
      <c r="F102" s="13" t="n">
        <v>0.0820586964906034</v>
      </c>
      <c r="G102" s="13" t="n">
        <v>0.0154564461349816</v>
      </c>
      <c r="H102" s="13" t="n">
        <v>0.0154368575868351</v>
      </c>
      <c r="I102" s="13" t="n">
        <v>0.0272216624721634</v>
      </c>
      <c r="J102" s="13" t="n">
        <v>-0.0898204750009182</v>
      </c>
      <c r="K102" s="13" t="n">
        <v>1.11148926537819</v>
      </c>
    </row>
    <row r="103" customFormat="false" ht="15" hidden="false" customHeight="false" outlineLevel="0" collapsed="false">
      <c r="A103" s="12" t="n">
        <v>1971</v>
      </c>
      <c r="B103" s="12" t="n">
        <v>6</v>
      </c>
      <c r="C103" s="13" t="n">
        <v>2.5573</v>
      </c>
      <c r="D103" s="13" t="n">
        <v>1.40692491821612</v>
      </c>
      <c r="E103" s="13" t="n">
        <v>1.15037508178388</v>
      </c>
      <c r="F103" s="13" t="n">
        <v>-0.030600690874092</v>
      </c>
      <c r="G103" s="13" t="n">
        <v>0.0512550872598999</v>
      </c>
      <c r="H103" s="13" t="n">
        <v>0.0337502250455498</v>
      </c>
      <c r="I103" s="13" t="n">
        <v>0.0532599224942371</v>
      </c>
      <c r="J103" s="13" t="n">
        <v>-0.050121151169164</v>
      </c>
      <c r="K103" s="13" t="n">
        <v>1.09283168902745</v>
      </c>
    </row>
    <row r="104" customFormat="false" ht="15" hidden="false" customHeight="false" outlineLevel="0" collapsed="false">
      <c r="A104" s="12" t="n">
        <v>1971</v>
      </c>
      <c r="B104" s="12" t="n">
        <v>7</v>
      </c>
      <c r="C104" s="13" t="n">
        <v>2.39632258064516</v>
      </c>
      <c r="D104" s="13" t="n">
        <v>1.07958749980964</v>
      </c>
      <c r="E104" s="13" t="n">
        <v>1.31673508083552</v>
      </c>
      <c r="F104" s="13" t="n">
        <v>0.0754829334369923</v>
      </c>
      <c r="G104" s="13" t="n">
        <v>0.0539847141751152</v>
      </c>
      <c r="H104" s="13" t="n">
        <v>0.0434836242722813</v>
      </c>
      <c r="I104" s="13" t="n">
        <v>0.0740540118489696</v>
      </c>
      <c r="J104" s="13" t="n">
        <v>-0.00917168591596927</v>
      </c>
      <c r="K104" s="13" t="n">
        <v>1.07890148301814</v>
      </c>
    </row>
    <row r="105" customFormat="false" ht="15" hidden="false" customHeight="false" outlineLevel="0" collapsed="false">
      <c r="A105" s="12" t="n">
        <v>1971</v>
      </c>
      <c r="B105" s="12" t="n">
        <v>8</v>
      </c>
      <c r="C105" s="13" t="n">
        <v>2.44516129032258</v>
      </c>
      <c r="D105" s="13" t="n">
        <v>1.27894122315498</v>
      </c>
      <c r="E105" s="13" t="n">
        <v>1.1662200671676</v>
      </c>
      <c r="F105" s="13" t="n">
        <v>-0.114510418561916</v>
      </c>
      <c r="G105" s="13" t="n">
        <v>0.0411210214490532</v>
      </c>
      <c r="H105" s="13" t="n">
        <v>0.0424974338879537</v>
      </c>
      <c r="I105" s="13" t="n">
        <v>0.0874787290602465</v>
      </c>
      <c r="J105" s="13" t="n">
        <v>0.0319192239125899</v>
      </c>
      <c r="K105" s="13" t="n">
        <v>1.07771407741967</v>
      </c>
    </row>
    <row r="106" customFormat="false" ht="15" hidden="false" customHeight="false" outlineLevel="0" collapsed="false">
      <c r="A106" s="12" t="n">
        <v>1971</v>
      </c>
      <c r="B106" s="12" t="n">
        <v>9</v>
      </c>
      <c r="C106" s="13" t="n">
        <v>2.90246666666667</v>
      </c>
      <c r="D106" s="13" t="n">
        <v>1.69605150567847</v>
      </c>
      <c r="E106" s="13" t="n">
        <v>1.2064151609882</v>
      </c>
      <c r="F106" s="13" t="n">
        <v>-0.103370006954302</v>
      </c>
      <c r="G106" s="13" t="n">
        <v>0.0297926649389081</v>
      </c>
      <c r="H106" s="13" t="n">
        <v>0.0313075541819845</v>
      </c>
      <c r="I106" s="13" t="n">
        <v>0.0921552177730932</v>
      </c>
      <c r="J106" s="13" t="n">
        <v>0.0720950438265197</v>
      </c>
      <c r="K106" s="13" t="n">
        <v>1.08443468722199</v>
      </c>
    </row>
    <row r="107" customFormat="false" ht="15" hidden="false" customHeight="false" outlineLevel="0" collapsed="false">
      <c r="A107" s="12" t="n">
        <v>1971</v>
      </c>
      <c r="B107" s="12" t="n">
        <v>10</v>
      </c>
      <c r="C107" s="13" t="n">
        <v>3.52003225806452</v>
      </c>
      <c r="D107" s="13" t="n">
        <v>2.03469539922403</v>
      </c>
      <c r="E107" s="13" t="n">
        <v>1.48533685884049</v>
      </c>
      <c r="F107" s="13" t="n">
        <v>0.169762541016986</v>
      </c>
      <c r="G107" s="13" t="n">
        <v>0.0212875994754131</v>
      </c>
      <c r="H107" s="13" t="n">
        <v>0.0129597603324458</v>
      </c>
      <c r="I107" s="13" t="n">
        <v>0.0875966840407754</v>
      </c>
      <c r="J107" s="13" t="n">
        <v>0.110399682514929</v>
      </c>
      <c r="K107" s="13" t="n">
        <v>1.08333059145994</v>
      </c>
    </row>
    <row r="108" customFormat="false" ht="15" hidden="false" customHeight="false" outlineLevel="0" collapsed="false">
      <c r="A108" s="12" t="n">
        <v>1971</v>
      </c>
      <c r="B108" s="12" t="n">
        <v>11</v>
      </c>
      <c r="C108" s="13" t="n">
        <v>3.53173333333333</v>
      </c>
      <c r="D108" s="13" t="n">
        <v>2.09794386422704</v>
      </c>
      <c r="E108" s="13" t="n">
        <v>1.43378946910629</v>
      </c>
      <c r="F108" s="13" t="n">
        <v>0.147334962459149</v>
      </c>
      <c r="G108" s="13" t="n">
        <v>0.00588871134324978</v>
      </c>
      <c r="H108" s="13" t="n">
        <v>-0.00773432210854057</v>
      </c>
      <c r="I108" s="13" t="n">
        <v>0.0742618000310183</v>
      </c>
      <c r="J108" s="13" t="n">
        <v>0.146015226204818</v>
      </c>
      <c r="K108" s="13" t="n">
        <v>1.0680230911766</v>
      </c>
    </row>
    <row r="109" customFormat="false" ht="15" hidden="false" customHeight="false" outlineLevel="0" collapsed="false">
      <c r="A109" s="12" t="n">
        <v>1971</v>
      </c>
      <c r="B109" s="12" t="n">
        <v>12</v>
      </c>
      <c r="C109" s="13" t="n">
        <v>2.90587096774194</v>
      </c>
      <c r="D109" s="13" t="n">
        <v>1.93683330714788</v>
      </c>
      <c r="E109" s="13" t="n">
        <v>0.969037660594058</v>
      </c>
      <c r="F109" s="13" t="n">
        <v>-0.269233813884358</v>
      </c>
      <c r="G109" s="13" t="n">
        <v>-0.021095007388323</v>
      </c>
      <c r="H109" s="13" t="n">
        <v>-0.0254141442897066</v>
      </c>
      <c r="I109" s="13" t="n">
        <v>0.0535097428627342</v>
      </c>
      <c r="J109" s="13" t="n">
        <v>0.178287272800467</v>
      </c>
      <c r="K109" s="13" t="n">
        <v>1.05298361049325</v>
      </c>
    </row>
    <row r="110" customFormat="false" ht="15" hidden="false" customHeight="false" outlineLevel="0" collapsed="false">
      <c r="A110" s="12" t="n">
        <v>1972</v>
      </c>
      <c r="B110" s="12" t="n">
        <v>1</v>
      </c>
      <c r="C110" s="13" t="n">
        <v>3.12038709677419</v>
      </c>
      <c r="D110" s="13" t="n">
        <v>1.90490350460361</v>
      </c>
      <c r="E110" s="13" t="n">
        <v>1.21548359217059</v>
      </c>
      <c r="F110" s="13" t="n">
        <v>0.01153587417785</v>
      </c>
      <c r="G110" s="13" t="n">
        <v>-0.0501627714469874</v>
      </c>
      <c r="H110" s="13" t="n">
        <v>-0.0355360615963859</v>
      </c>
      <c r="I110" s="13" t="n">
        <v>0.0274611728149034</v>
      </c>
      <c r="J110" s="13" t="n">
        <v>0.206737303531864</v>
      </c>
      <c r="K110" s="13" t="n">
        <v>1.05544807468934</v>
      </c>
    </row>
    <row r="111" customFormat="false" ht="15" hidden="false" customHeight="false" outlineLevel="0" collapsed="false">
      <c r="A111" s="12" t="n">
        <v>1972</v>
      </c>
      <c r="B111" s="12" t="n">
        <v>2</v>
      </c>
      <c r="C111" s="13" t="n">
        <v>3.36734482758621</v>
      </c>
      <c r="D111" s="13" t="n">
        <v>2.05680329711898</v>
      </c>
      <c r="E111" s="13" t="n">
        <v>1.31054153046723</v>
      </c>
      <c r="F111" s="13" t="n">
        <v>0.108743000132028</v>
      </c>
      <c r="G111" s="13" t="n">
        <v>-0.0635830321640319</v>
      </c>
      <c r="H111" s="13" t="n">
        <v>-0.0355413808445597</v>
      </c>
      <c r="I111" s="13" t="n">
        <v>-0.00122059075692581</v>
      </c>
      <c r="J111" s="13" t="n">
        <v>0.231062780132467</v>
      </c>
      <c r="K111" s="13" t="n">
        <v>1.07108075396825</v>
      </c>
    </row>
    <row r="112" customFormat="false" ht="15" hidden="false" customHeight="false" outlineLevel="0" collapsed="false">
      <c r="A112" s="12" t="n">
        <v>1972</v>
      </c>
      <c r="B112" s="12" t="n">
        <v>3</v>
      </c>
      <c r="C112" s="13" t="n">
        <v>3.44532258064516</v>
      </c>
      <c r="D112" s="13" t="n">
        <v>2.20827231712196</v>
      </c>
      <c r="E112" s="13" t="n">
        <v>1.23705026352321</v>
      </c>
      <c r="F112" s="13" t="n">
        <v>0.0117240612658587</v>
      </c>
      <c r="G112" s="13" t="n">
        <v>-0.0494772083015613</v>
      </c>
      <c r="H112" s="13" t="n">
        <v>-0.025525528943137</v>
      </c>
      <c r="I112" s="13" t="n">
        <v>-0.0296054484102841</v>
      </c>
      <c r="J112" s="13" t="n">
        <v>0.251126617056451</v>
      </c>
      <c r="K112" s="13" t="n">
        <v>1.07880777085588</v>
      </c>
    </row>
    <row r="113" customFormat="false" ht="15" hidden="false" customHeight="false" outlineLevel="0" collapsed="false">
      <c r="A113" s="12" t="n">
        <v>1972</v>
      </c>
      <c r="B113" s="12" t="n">
        <v>4</v>
      </c>
      <c r="C113" s="13" t="n">
        <v>3.49616666666667</v>
      </c>
      <c r="D113" s="13" t="n">
        <v>2.28393209372258</v>
      </c>
      <c r="E113" s="13" t="n">
        <v>1.21223457294409</v>
      </c>
      <c r="F113" s="13" t="n">
        <v>-0.0473961735942072</v>
      </c>
      <c r="G113" s="13" t="n">
        <v>-0.0114826218929195</v>
      </c>
      <c r="H113" s="13" t="n">
        <v>-0.00823086193619865</v>
      </c>
      <c r="I113" s="13" t="n">
        <v>-0.0548005959087944</v>
      </c>
      <c r="J113" s="13" t="n">
        <v>0.266938224486984</v>
      </c>
      <c r="K113" s="13" t="n">
        <v>1.06720660178923</v>
      </c>
    </row>
    <row r="114" customFormat="false" ht="15" hidden="false" customHeight="false" outlineLevel="0" collapsed="false">
      <c r="A114" s="12" t="n">
        <v>1972</v>
      </c>
      <c r="B114" s="12" t="n">
        <v>5</v>
      </c>
      <c r="C114" s="13" t="n">
        <v>3.34038709677419</v>
      </c>
      <c r="D114" s="13" t="n">
        <v>2.04461431911274</v>
      </c>
      <c r="E114" s="13" t="n">
        <v>1.29577277766146</v>
      </c>
      <c r="F114" s="13" t="n">
        <v>0.00137487375655724</v>
      </c>
      <c r="G114" s="13" t="n">
        <v>0.0325794757595108</v>
      </c>
      <c r="H114" s="13" t="n">
        <v>0.0116433563994756</v>
      </c>
      <c r="I114" s="13" t="n">
        <v>-0.0742508668106098</v>
      </c>
      <c r="J114" s="13" t="n">
        <v>0.278628541121384</v>
      </c>
      <c r="K114" s="13" t="n">
        <v>1.04579739743514</v>
      </c>
    </row>
    <row r="115" customFormat="false" ht="15" hidden="false" customHeight="false" outlineLevel="0" collapsed="false">
      <c r="A115" s="12" t="n">
        <v>1972</v>
      </c>
      <c r="B115" s="12" t="n">
        <v>6</v>
      </c>
      <c r="C115" s="13" t="n">
        <v>2.751</v>
      </c>
      <c r="D115" s="13" t="n">
        <v>1.47204761306372</v>
      </c>
      <c r="E115" s="13" t="n">
        <v>1.27895238693628</v>
      </c>
      <c r="F115" s="13" t="n">
        <v>-0.0413495721399761</v>
      </c>
      <c r="G115" s="13" t="n">
        <v>0.0608259309518332</v>
      </c>
      <c r="H115" s="13" t="n">
        <v>0.0286452246096121</v>
      </c>
      <c r="I115" s="13" t="n">
        <v>-0.0860037245705705</v>
      </c>
      <c r="J115" s="13" t="n">
        <v>0.286421512253409</v>
      </c>
      <c r="K115" s="13" t="n">
        <v>1.03041301583197</v>
      </c>
    </row>
    <row r="116" customFormat="false" ht="15" hidden="false" customHeight="false" outlineLevel="0" collapsed="false">
      <c r="A116" s="12" t="n">
        <v>1972</v>
      </c>
      <c r="B116" s="12" t="n">
        <v>7</v>
      </c>
      <c r="C116" s="13" t="n">
        <v>2.54877419354839</v>
      </c>
      <c r="D116" s="13" t="n">
        <v>1.14204609615545</v>
      </c>
      <c r="E116" s="13" t="n">
        <v>1.40672809739294</v>
      </c>
      <c r="F116" s="13" t="n">
        <v>0.0819044872861315</v>
      </c>
      <c r="G116" s="13" t="n">
        <v>0.0595122116985307</v>
      </c>
      <c r="H116" s="13" t="n">
        <v>0.03798599215399</v>
      </c>
      <c r="I116" s="13" t="n">
        <v>-0.0889109597919926</v>
      </c>
      <c r="J116" s="13" t="n">
        <v>0.290604363928902</v>
      </c>
      <c r="K116" s="13" t="n">
        <v>1.02563200211737</v>
      </c>
    </row>
    <row r="117" customFormat="false" ht="15" hidden="false" customHeight="false" outlineLevel="0" collapsed="false">
      <c r="A117" s="12" t="n">
        <v>1972</v>
      </c>
      <c r="B117" s="12" t="n">
        <v>8</v>
      </c>
      <c r="C117" s="13" t="n">
        <v>2.58838709677419</v>
      </c>
      <c r="D117" s="13" t="n">
        <v>1.33886020452497</v>
      </c>
      <c r="E117" s="13" t="n">
        <v>1.24952689224922</v>
      </c>
      <c r="F117" s="13" t="n">
        <v>-0.0506288886518704</v>
      </c>
      <c r="G117" s="13" t="n">
        <v>0.0307623796947025</v>
      </c>
      <c r="H117" s="13" t="n">
        <v>0.0368063567694228</v>
      </c>
      <c r="I117" s="13" t="n">
        <v>-0.0827458043904311</v>
      </c>
      <c r="J117" s="13" t="n">
        <v>0.291498799950821</v>
      </c>
      <c r="K117" s="13" t="n">
        <v>1.02383404887658</v>
      </c>
    </row>
    <row r="118" customFormat="false" ht="15" hidden="false" customHeight="false" outlineLevel="0" collapsed="false">
      <c r="A118" s="12" t="n">
        <v>1972</v>
      </c>
      <c r="B118" s="12" t="n">
        <v>9</v>
      </c>
      <c r="C118" s="13" t="n">
        <v>3.03886666666667</v>
      </c>
      <c r="D118" s="13" t="n">
        <v>1.75355759861318</v>
      </c>
      <c r="E118" s="13" t="n">
        <v>1.28530906805348</v>
      </c>
      <c r="F118" s="13" t="n">
        <v>0.0309757972728661</v>
      </c>
      <c r="G118" s="13" t="n">
        <v>-0.00825093181327396</v>
      </c>
      <c r="H118" s="13" t="n">
        <v>0.0249657249266434</v>
      </c>
      <c r="I118" s="13" t="n">
        <v>-0.0682231126849148</v>
      </c>
      <c r="J118" s="13" t="n">
        <v>0.289434965366518</v>
      </c>
      <c r="K118" s="13" t="n">
        <v>1.01640662498565</v>
      </c>
    </row>
    <row r="119" customFormat="false" ht="15" hidden="false" customHeight="false" outlineLevel="0" collapsed="false">
      <c r="A119" s="12" t="n">
        <v>1972</v>
      </c>
      <c r="B119" s="12" t="n">
        <v>10</v>
      </c>
      <c r="C119" s="13" t="n">
        <v>3.2971935483871</v>
      </c>
      <c r="D119" s="13" t="n">
        <v>2.08991692199038</v>
      </c>
      <c r="E119" s="13" t="n">
        <v>1.20727662639672</v>
      </c>
      <c r="F119" s="13" t="n">
        <v>-0.00292561572733812</v>
      </c>
      <c r="G119" s="13" t="n">
        <v>-0.0349403582806162</v>
      </c>
      <c r="H119" s="13" t="n">
        <v>0.00514458185441663</v>
      </c>
      <c r="I119" s="13" t="n">
        <v>-0.0469205319438267</v>
      </c>
      <c r="J119" s="13" t="n">
        <v>0.284729721439431</v>
      </c>
      <c r="K119" s="13" t="n">
        <v>1.00218882905465</v>
      </c>
    </row>
    <row r="120" customFormat="false" ht="15" hidden="false" customHeight="false" outlineLevel="0" collapsed="false">
      <c r="A120" s="12" t="n">
        <v>1972</v>
      </c>
      <c r="B120" s="12" t="n">
        <v>11</v>
      </c>
      <c r="C120" s="13" t="n">
        <v>3.29913333333333</v>
      </c>
      <c r="D120" s="13" t="n">
        <v>2.15101007527362</v>
      </c>
      <c r="E120" s="13" t="n">
        <v>1.14812325805971</v>
      </c>
      <c r="F120" s="13" t="n">
        <v>-0.04175602748357</v>
      </c>
      <c r="G120" s="13" t="n">
        <v>-0.0351222606928375</v>
      </c>
      <c r="H120" s="13" t="n">
        <v>-0.017777170499358</v>
      </c>
      <c r="I120" s="13" t="n">
        <v>-0.0211090973120717</v>
      </c>
      <c r="J120" s="13" t="n">
        <v>0.277670439283085</v>
      </c>
      <c r="K120" s="13" t="n">
        <v>0.986217374764462</v>
      </c>
    </row>
    <row r="121" customFormat="false" ht="15" hidden="false" customHeight="false" outlineLevel="0" collapsed="false">
      <c r="A121" s="12" t="n">
        <v>1972</v>
      </c>
      <c r="B121" s="12" t="n">
        <v>12</v>
      </c>
      <c r="C121" s="13" t="n">
        <v>3.22745161290323</v>
      </c>
      <c r="D121" s="13" t="n">
        <v>1.98787375556276</v>
      </c>
      <c r="E121" s="13" t="n">
        <v>1.23957785734046</v>
      </c>
      <c r="F121" s="13" t="n">
        <v>0.0422969440481249</v>
      </c>
      <c r="G121" s="13" t="n">
        <v>-0.0126139494480661</v>
      </c>
      <c r="H121" s="13" t="n">
        <v>-0.037918884562811</v>
      </c>
      <c r="I121" s="13" t="n">
        <v>0.00648868559995808</v>
      </c>
      <c r="J121" s="13" t="n">
        <v>0.26850508481886</v>
      </c>
      <c r="K121" s="13" t="n">
        <v>0.972819976884399</v>
      </c>
    </row>
    <row r="122" customFormat="false" ht="15" hidden="false" customHeight="false" outlineLevel="0" collapsed="false">
      <c r="A122" s="12" t="n">
        <v>1973</v>
      </c>
      <c r="B122" s="12" t="n">
        <v>1</v>
      </c>
      <c r="C122" s="13" t="n">
        <v>3.11374193548387</v>
      </c>
      <c r="D122" s="13" t="n">
        <v>1.95404738481581</v>
      </c>
      <c r="E122" s="13" t="n">
        <v>1.15969455066806</v>
      </c>
      <c r="F122" s="13" t="n">
        <v>-0.0546677627241802</v>
      </c>
      <c r="G122" s="13" t="n">
        <v>0.012760657403957</v>
      </c>
      <c r="H122" s="13" t="n">
        <v>-0.0498790464458395</v>
      </c>
      <c r="I122" s="13" t="n">
        <v>0.0329874957306008</v>
      </c>
      <c r="J122" s="13" t="n">
        <v>0.257438812994855</v>
      </c>
      <c r="K122" s="13" t="n">
        <v>0.961054393708669</v>
      </c>
    </row>
    <row r="123" customFormat="false" ht="15" hidden="false" customHeight="false" outlineLevel="0" collapsed="false">
      <c r="A123" s="12" t="n">
        <v>1973</v>
      </c>
      <c r="B123" s="12" t="n">
        <v>2</v>
      </c>
      <c r="C123" s="13" t="n">
        <v>3.35635714285714</v>
      </c>
      <c r="D123" s="13" t="n">
        <v>2.1041788100786</v>
      </c>
      <c r="E123" s="13" t="n">
        <v>1.25217833277855</v>
      </c>
      <c r="F123" s="13" t="n">
        <v>0.035715136817324</v>
      </c>
      <c r="G123" s="13" t="n">
        <v>0.0189993012232733</v>
      </c>
      <c r="H123" s="13" t="n">
        <v>-0.0501253203206251</v>
      </c>
      <c r="I123" s="13" t="n">
        <v>0.0556438502135456</v>
      </c>
      <c r="J123" s="13" t="n">
        <v>0.24463665847133</v>
      </c>
      <c r="K123" s="13" t="n">
        <v>0.9473087063737</v>
      </c>
    </row>
    <row r="124" customFormat="false" ht="15" hidden="false" customHeight="false" outlineLevel="0" collapsed="false">
      <c r="A124" s="12" t="n">
        <v>1973</v>
      </c>
      <c r="B124" s="12" t="n">
        <v>3</v>
      </c>
      <c r="C124" s="13" t="n">
        <v>3.51270967741936</v>
      </c>
      <c r="D124" s="13" t="n">
        <v>2.25400604015423</v>
      </c>
      <c r="E124" s="13" t="n">
        <v>1.25870363726513</v>
      </c>
      <c r="F124" s="13" t="n">
        <v>0.0632812084625965</v>
      </c>
      <c r="G124" s="13" t="n">
        <v>-0.00126562768289487</v>
      </c>
      <c r="H124" s="13" t="n">
        <v>-0.0379417042398672</v>
      </c>
      <c r="I124" s="13" t="n">
        <v>0.0721443382323281</v>
      </c>
      <c r="J124" s="13" t="n">
        <v>0.230231301383592</v>
      </c>
      <c r="K124" s="13" t="n">
        <v>0.932254121109371</v>
      </c>
    </row>
    <row r="125" customFormat="false" ht="15" hidden="false" customHeight="false" outlineLevel="0" collapsed="false">
      <c r="A125" s="12" t="n">
        <v>1973</v>
      </c>
      <c r="B125" s="12" t="n">
        <v>4</v>
      </c>
      <c r="C125" s="13" t="n">
        <v>3.46066666666667</v>
      </c>
      <c r="D125" s="13" t="n">
        <v>2.32814836123824</v>
      </c>
      <c r="E125" s="13" t="n">
        <v>1.13251830542843</v>
      </c>
      <c r="F125" s="13" t="n">
        <v>-0.0360680578441918</v>
      </c>
      <c r="G125" s="13" t="n">
        <v>-0.0335168173734645</v>
      </c>
      <c r="H125" s="13" t="n">
        <v>-0.0156871353803992</v>
      </c>
      <c r="I125" s="13" t="n">
        <v>0.0808468076917519</v>
      </c>
      <c r="J125" s="13" t="n">
        <v>0.214334411283724</v>
      </c>
      <c r="K125" s="13" t="n">
        <v>0.922609097051008</v>
      </c>
    </row>
    <row r="126" customFormat="false" ht="15" hidden="false" customHeight="false" outlineLevel="0" collapsed="false">
      <c r="A126" s="12" t="n">
        <v>1973</v>
      </c>
      <c r="B126" s="12" t="n">
        <v>5</v>
      </c>
      <c r="C126" s="13" t="n">
        <v>3.17806451612903</v>
      </c>
      <c r="D126" s="13" t="n">
        <v>2.08743461629541</v>
      </c>
      <c r="E126" s="13" t="n">
        <v>1.09062989983362</v>
      </c>
      <c r="F126" s="13" t="n">
        <v>-0.0709919340857673</v>
      </c>
      <c r="G126" s="13" t="n">
        <v>-0.050320535819996</v>
      </c>
      <c r="H126" s="13" t="n">
        <v>0.0117097883576981</v>
      </c>
      <c r="I126" s="13" t="n">
        <v>0.0809489513060143</v>
      </c>
      <c r="J126" s="13" t="n">
        <v>0.197049806864604</v>
      </c>
      <c r="K126" s="13" t="n">
        <v>0.922233823211065</v>
      </c>
    </row>
    <row r="127" customFormat="false" ht="15" hidden="false" customHeight="false" outlineLevel="0" collapsed="false">
      <c r="A127" s="12" t="n">
        <v>1973</v>
      </c>
      <c r="B127" s="12" t="n">
        <v>6</v>
      </c>
      <c r="C127" s="13" t="n">
        <v>2.68273333333333</v>
      </c>
      <c r="D127" s="13" t="n">
        <v>1.51358998462369</v>
      </c>
      <c r="E127" s="13" t="n">
        <v>1.16914334870964</v>
      </c>
      <c r="F127" s="13" t="n">
        <v>-0.0115601322473777</v>
      </c>
      <c r="G127" s="13" t="n">
        <v>-0.0312931016620702</v>
      </c>
      <c r="H127" s="13" t="n">
        <v>0.0379045232445391</v>
      </c>
      <c r="I127" s="13" t="n">
        <v>0.0725665537928493</v>
      </c>
      <c r="J127" s="13" t="n">
        <v>0.17848662077786</v>
      </c>
      <c r="K127" s="13" t="n">
        <v>0.92303888480384</v>
      </c>
    </row>
    <row r="128" customFormat="false" ht="15" hidden="false" customHeight="false" outlineLevel="0" collapsed="false">
      <c r="A128" s="12" t="n">
        <v>1973</v>
      </c>
      <c r="B128" s="12" t="n">
        <v>7</v>
      </c>
      <c r="C128" s="13" t="n">
        <v>2.48612903225806</v>
      </c>
      <c r="D128" s="13" t="n">
        <v>1.18242457220286</v>
      </c>
      <c r="E128" s="13" t="n">
        <v>1.3037044600552</v>
      </c>
      <c r="F128" s="13" t="n">
        <v>0.0993076180142015</v>
      </c>
      <c r="G128" s="13" t="n">
        <v>0.0199134144660823</v>
      </c>
      <c r="H128" s="13" t="n">
        <v>0.0566599070869977</v>
      </c>
      <c r="I128" s="13" t="n">
        <v>0.056713379270678</v>
      </c>
      <c r="J128" s="13" t="n">
        <v>0.158770773711218</v>
      </c>
      <c r="K128" s="13" t="n">
        <v>0.912339367506025</v>
      </c>
    </row>
    <row r="129" customFormat="false" ht="15" hidden="false" customHeight="false" outlineLevel="0" collapsed="false">
      <c r="A129" s="12" t="n">
        <v>1973</v>
      </c>
      <c r="B129" s="12" t="n">
        <v>8</v>
      </c>
      <c r="C129" s="13" t="n">
        <v>2.61541935483871</v>
      </c>
      <c r="D129" s="13" t="n">
        <v>1.37818424550212</v>
      </c>
      <c r="E129" s="13" t="n">
        <v>1.23723510933659</v>
      </c>
      <c r="F129" s="13" t="n">
        <v>0.0344707461170262</v>
      </c>
      <c r="G129" s="13" t="n">
        <v>0.0743460581967879</v>
      </c>
      <c r="H129" s="13" t="n">
        <v>0.0633655140933564</v>
      </c>
      <c r="I129" s="13" t="n">
        <v>0.0351852518703901</v>
      </c>
      <c r="J129" s="13" t="n">
        <v>0.138053302331449</v>
      </c>
      <c r="K129" s="13" t="n">
        <v>0.891814236727582</v>
      </c>
    </row>
    <row r="130" customFormat="false" ht="15" hidden="false" customHeight="false" outlineLevel="0" collapsed="false">
      <c r="A130" s="12" t="n">
        <v>1973</v>
      </c>
      <c r="B130" s="12" t="n">
        <v>9</v>
      </c>
      <c r="C130" s="13" t="n">
        <v>2.8569</v>
      </c>
      <c r="D130" s="13" t="n">
        <v>1.79193156122767</v>
      </c>
      <c r="E130" s="13" t="n">
        <v>1.06496843877234</v>
      </c>
      <c r="F130" s="13" t="n">
        <v>-0.0932827885901509</v>
      </c>
      <c r="G130" s="13" t="n">
        <v>0.0946646926663019</v>
      </c>
      <c r="H130" s="13" t="n">
        <v>0.0561774860572815</v>
      </c>
      <c r="I130" s="13" t="n">
        <v>0.010361172820718</v>
      </c>
      <c r="J130" s="13" t="n">
        <v>0.11651449670166</v>
      </c>
      <c r="K130" s="13" t="n">
        <v>0.880533379116525</v>
      </c>
    </row>
    <row r="131" customFormat="false" ht="15" hidden="false" customHeight="false" outlineLevel="0" collapsed="false">
      <c r="A131" s="12" t="n">
        <v>1973</v>
      </c>
      <c r="B131" s="12" t="n">
        <v>10</v>
      </c>
      <c r="C131" s="13" t="n">
        <v>3.08716129032258</v>
      </c>
      <c r="D131" s="13" t="n">
        <v>2.12743954798052</v>
      </c>
      <c r="E131" s="13" t="n">
        <v>0.95972174234206</v>
      </c>
      <c r="F131" s="13" t="n">
        <v>-0.108360066441678</v>
      </c>
      <c r="G131" s="13" t="n">
        <v>0.0604354687260534</v>
      </c>
      <c r="H131" s="13" t="n">
        <v>0.0364950671536825</v>
      </c>
      <c r="I131" s="13" t="n">
        <v>-0.0150567875184763</v>
      </c>
      <c r="J131" s="13" t="n">
        <v>0.0943634426533825</v>
      </c>
      <c r="K131" s="13" t="n">
        <v>0.891844617769095</v>
      </c>
    </row>
    <row r="132" customFormat="false" ht="15" hidden="false" customHeight="false" outlineLevel="0" collapsed="false">
      <c r="A132" s="12" t="n">
        <v>1973</v>
      </c>
      <c r="B132" s="12" t="n">
        <v>11</v>
      </c>
      <c r="C132" s="13" t="n">
        <v>3.2986</v>
      </c>
      <c r="D132" s="13" t="n">
        <v>2.18777400474728</v>
      </c>
      <c r="E132" s="13" t="n">
        <v>1.11082599525272</v>
      </c>
      <c r="F132" s="13" t="n">
        <v>0.169445261143779</v>
      </c>
      <c r="G132" s="13" t="n">
        <v>-0.0147644009343682</v>
      </c>
      <c r="H132" s="13" t="n">
        <v>0.00865293849967099</v>
      </c>
      <c r="I132" s="13" t="n">
        <v>-0.0383365461380274</v>
      </c>
      <c r="J132" s="13" t="n">
        <v>0.0718333630736584</v>
      </c>
      <c r="K132" s="13" t="n">
        <v>0.913995379608006</v>
      </c>
    </row>
    <row r="133" customFormat="false" ht="15" hidden="false" customHeight="false" outlineLevel="0" collapsed="false">
      <c r="A133" s="12" t="n">
        <v>1973</v>
      </c>
      <c r="B133" s="12" t="n">
        <v>12</v>
      </c>
      <c r="C133" s="13" t="n">
        <v>2.91767741935484</v>
      </c>
      <c r="D133" s="13" t="n">
        <v>2.02396506661718</v>
      </c>
      <c r="E133" s="13" t="n">
        <v>0.893712352737663</v>
      </c>
      <c r="F133" s="13" t="n">
        <v>0.0866308538531916</v>
      </c>
      <c r="G133" s="13" t="n">
        <v>-0.0878805697721982</v>
      </c>
      <c r="H133" s="13" t="n">
        <v>-0.0210981918593946</v>
      </c>
      <c r="I133" s="13" t="n">
        <v>-0.0570102629656182</v>
      </c>
      <c r="J133" s="13" t="n">
        <v>0.0491739056155607</v>
      </c>
      <c r="K133" s="13" t="n">
        <v>0.923896617866121</v>
      </c>
    </row>
    <row r="134" customFormat="false" ht="15" hidden="false" customHeight="false" outlineLevel="0" collapsed="false">
      <c r="A134" s="12" t="n">
        <v>1974</v>
      </c>
      <c r="B134" s="12" t="n">
        <v>1</v>
      </c>
      <c r="C134" s="13" t="n">
        <v>2.54538709677419</v>
      </c>
      <c r="D134" s="13" t="n">
        <v>1.98954516100767</v>
      </c>
      <c r="E134" s="13" t="n">
        <v>0.555841935766525</v>
      </c>
      <c r="F134" s="13" t="n">
        <v>-0.158626747097986</v>
      </c>
      <c r="G134" s="13" t="n">
        <v>-0.112872563144767</v>
      </c>
      <c r="H134" s="13" t="n">
        <v>-0.0460747058075851</v>
      </c>
      <c r="I134" s="13" t="n">
        <v>-0.0691380146439753</v>
      </c>
      <c r="J134" s="13" t="n">
        <v>0.0266420494456451</v>
      </c>
      <c r="K134" s="13" t="n">
        <v>0.915911917015193</v>
      </c>
    </row>
    <row r="135" customFormat="false" ht="15" hidden="false" customHeight="false" outlineLevel="0" collapsed="false">
      <c r="A135" s="12" t="n">
        <v>1974</v>
      </c>
      <c r="B135" s="12" t="n">
        <v>2</v>
      </c>
      <c r="C135" s="13" t="n">
        <v>2.81157142857143</v>
      </c>
      <c r="D135" s="13" t="n">
        <v>2.13915473724199</v>
      </c>
      <c r="E135" s="13" t="n">
        <v>0.672416691329444</v>
      </c>
      <c r="F135" s="13" t="n">
        <v>-0.0302811927871816</v>
      </c>
      <c r="G135" s="13" t="n">
        <v>-0.0727557687335908</v>
      </c>
      <c r="H135" s="13" t="n">
        <v>-0.0607448083093123</v>
      </c>
      <c r="I135" s="13" t="n">
        <v>-0.0735125179975651</v>
      </c>
      <c r="J135" s="13" t="n">
        <v>0.00449351629661903</v>
      </c>
      <c r="K135" s="13" t="n">
        <v>0.905217462860475</v>
      </c>
    </row>
    <row r="136" customFormat="false" ht="15" hidden="false" customHeight="false" outlineLevel="0" collapsed="false">
      <c r="A136" s="12" t="n">
        <v>1974</v>
      </c>
      <c r="B136" s="12" t="n">
        <v>3</v>
      </c>
      <c r="C136" s="13" t="n">
        <v>3.0568064516129</v>
      </c>
      <c r="D136" s="13" t="n">
        <v>2.28852403397139</v>
      </c>
      <c r="E136" s="13" t="n">
        <v>0.768282417641511</v>
      </c>
      <c r="F136" s="13" t="n">
        <v>0.00659206767640133</v>
      </c>
      <c r="G136" s="13" t="n">
        <v>0.00675035735265133</v>
      </c>
      <c r="H136" s="13" t="n">
        <v>-0.0620285426607354</v>
      </c>
      <c r="I136" s="13" t="n">
        <v>-0.0697830189266754</v>
      </c>
      <c r="J136" s="13" t="n">
        <v>-0.0170235938058648</v>
      </c>
      <c r="K136" s="13" t="n">
        <v>0.903775148005734</v>
      </c>
    </row>
    <row r="137" customFormat="false" ht="15" hidden="false" customHeight="false" outlineLevel="0" collapsed="false">
      <c r="A137" s="12" t="n">
        <v>1974</v>
      </c>
      <c r="B137" s="12" t="n">
        <v>4</v>
      </c>
      <c r="C137" s="13" t="n">
        <v>3.24936666666667</v>
      </c>
      <c r="D137" s="13" t="n">
        <v>2.36226422684855</v>
      </c>
      <c r="E137" s="13" t="n">
        <v>0.887102439818119</v>
      </c>
      <c r="F137" s="13" t="n">
        <v>0.0533606029571207</v>
      </c>
      <c r="G137" s="13" t="n">
        <v>0.0744995524817199</v>
      </c>
      <c r="H137" s="13" t="n">
        <v>-0.0499980872978264</v>
      </c>
      <c r="I137" s="13" t="n">
        <v>-0.0584853117425828</v>
      </c>
      <c r="J137" s="13" t="n">
        <v>-0.0376718210222253</v>
      </c>
      <c r="K137" s="13" t="n">
        <v>0.905397504441913</v>
      </c>
    </row>
    <row r="138" customFormat="false" ht="15" hidden="false" customHeight="false" outlineLevel="0" collapsed="false">
      <c r="A138" s="12" t="n">
        <v>1974</v>
      </c>
      <c r="B138" s="12" t="n">
        <v>5</v>
      </c>
      <c r="C138" s="13" t="n">
        <v>3.09529032258065</v>
      </c>
      <c r="D138" s="13" t="n">
        <v>2.12119574113163</v>
      </c>
      <c r="E138" s="13" t="n">
        <v>0.974094581449011</v>
      </c>
      <c r="F138" s="13" t="n">
        <v>0.111392462577471</v>
      </c>
      <c r="G138" s="13" t="n">
        <v>0.0902910421231176</v>
      </c>
      <c r="H138" s="13" t="n">
        <v>-0.0278121098085044</v>
      </c>
      <c r="I138" s="13" t="n">
        <v>-0.0409751031891398</v>
      </c>
      <c r="J138" s="13" t="n">
        <v>-0.0572238249983923</v>
      </c>
      <c r="K138" s="13" t="n">
        <v>0.898422114744458</v>
      </c>
    </row>
    <row r="139" customFormat="false" ht="15" hidden="false" customHeight="false" outlineLevel="0" collapsed="false">
      <c r="A139" s="12" t="n">
        <v>1974</v>
      </c>
      <c r="B139" s="12" t="n">
        <v>6</v>
      </c>
      <c r="C139" s="13" t="n">
        <v>2.28043333333333</v>
      </c>
      <c r="D139" s="13" t="n">
        <v>1.54703506555625</v>
      </c>
      <c r="E139" s="13" t="n">
        <v>0.733398267777086</v>
      </c>
      <c r="F139" s="13" t="n">
        <v>-0.106382000053601</v>
      </c>
      <c r="G139" s="13" t="n">
        <v>0.0519742758053723</v>
      </c>
      <c r="H139" s="13" t="n">
        <v>-0.000906817521451114</v>
      </c>
      <c r="I139" s="13" t="n">
        <v>-0.0192724663111456</v>
      </c>
      <c r="J139" s="13" t="n">
        <v>-0.0754590703961527</v>
      </c>
      <c r="K139" s="13" t="n">
        <v>0.883444346254064</v>
      </c>
    </row>
    <row r="140" customFormat="false" ht="15" hidden="false" customHeight="false" outlineLevel="0" collapsed="false">
      <c r="A140" s="12" t="n">
        <v>1974</v>
      </c>
      <c r="B140" s="12" t="n">
        <v>7</v>
      </c>
      <c r="C140" s="13" t="n">
        <v>1.93125806451613</v>
      </c>
      <c r="D140" s="13" t="n">
        <v>1.21558337794089</v>
      </c>
      <c r="E140" s="13" t="n">
        <v>0.715674686575242</v>
      </c>
      <c r="F140" s="13" t="n">
        <v>-0.0837879914976103</v>
      </c>
      <c r="G140" s="13" t="n">
        <v>-0.00746052322701507</v>
      </c>
      <c r="H140" s="13" t="n">
        <v>0.0243517110837879</v>
      </c>
      <c r="I140" s="13" t="n">
        <v>0.0041652071337633</v>
      </c>
      <c r="J140" s="13" t="n">
        <v>-0.0921590945998287</v>
      </c>
      <c r="K140" s="13" t="n">
        <v>0.870565377682144</v>
      </c>
    </row>
    <row r="141" customFormat="false" ht="15" hidden="false" customHeight="false" outlineLevel="0" collapsed="false">
      <c r="A141" s="12" t="n">
        <v>1974</v>
      </c>
      <c r="B141" s="12" t="n">
        <v>8</v>
      </c>
      <c r="C141" s="13" t="n">
        <v>2.2808064516129</v>
      </c>
      <c r="D141" s="13" t="n">
        <v>1.41107741510312</v>
      </c>
      <c r="E141" s="13" t="n">
        <v>0.86972903650978</v>
      </c>
      <c r="F141" s="13" t="n">
        <v>0.0919931342449676</v>
      </c>
      <c r="G141" s="13" t="n">
        <v>-0.0479008435047637</v>
      </c>
      <c r="H141" s="13" t="n">
        <v>0.0422190969814947</v>
      </c>
      <c r="I141" s="13" t="n">
        <v>0.0267166047121001</v>
      </c>
      <c r="J141" s="13" t="n">
        <v>-0.107102962630273</v>
      </c>
      <c r="K141" s="13" t="n">
        <v>0.863804006706254</v>
      </c>
    </row>
    <row r="142" customFormat="false" ht="15" hidden="false" customHeight="false" outlineLevel="0" collapsed="false">
      <c r="A142" s="12" t="n">
        <v>1974</v>
      </c>
      <c r="B142" s="12" t="n">
        <v>9</v>
      </c>
      <c r="C142" s="13" t="n">
        <v>2.58213333333333</v>
      </c>
      <c r="D142" s="13" t="n">
        <v>1.82457043944173</v>
      </c>
      <c r="E142" s="13" t="n">
        <v>0.757562893891607</v>
      </c>
      <c r="F142" s="13" t="n">
        <v>-0.0240070513204384</v>
      </c>
      <c r="G142" s="13" t="n">
        <v>-0.050393917226288</v>
      </c>
      <c r="H142" s="13" t="n">
        <v>0.0489463454510894</v>
      </c>
      <c r="I142" s="13" t="n">
        <v>0.0458861129387831</v>
      </c>
      <c r="J142" s="13" t="n">
        <v>-0.120064463582936</v>
      </c>
      <c r="K142" s="13" t="n">
        <v>0.857195867631397</v>
      </c>
    </row>
    <row r="143" customFormat="false" ht="15" hidden="false" customHeight="false" outlineLevel="0" collapsed="false">
      <c r="A143" s="12" t="n">
        <v>1974</v>
      </c>
      <c r="B143" s="12" t="n">
        <v>10</v>
      </c>
      <c r="C143" s="13" t="n">
        <v>2.98612903225806</v>
      </c>
      <c r="D143" s="13" t="n">
        <v>2.15982605801103</v>
      </c>
      <c r="E143" s="13" t="n">
        <v>0.82630297424704</v>
      </c>
      <c r="F143" s="13" t="n">
        <v>0.0319889791926248</v>
      </c>
      <c r="G143" s="13" t="n">
        <v>-0.0242160659853759</v>
      </c>
      <c r="H143" s="13" t="n">
        <v>0.0436409546115466</v>
      </c>
      <c r="I143" s="13" t="n">
        <v>0.0595778566972718</v>
      </c>
      <c r="J143" s="13" t="n">
        <v>-0.130812409708008</v>
      </c>
      <c r="K143" s="13" t="n">
        <v>0.846123659438981</v>
      </c>
    </row>
    <row r="144" customFormat="false" ht="15" hidden="false" customHeight="false" outlineLevel="0" collapsed="false">
      <c r="A144" s="12" t="n">
        <v>1974</v>
      </c>
      <c r="B144" s="12" t="n">
        <v>11</v>
      </c>
      <c r="C144" s="13" t="n">
        <v>3.0305</v>
      </c>
      <c r="D144" s="13" t="n">
        <v>2.21990055893163</v>
      </c>
      <c r="E144" s="13" t="n">
        <v>0.810599441068373</v>
      </c>
      <c r="F144" s="13" t="n">
        <v>0.0124283915125161</v>
      </c>
      <c r="G144" s="13" t="n">
        <v>0.0076660813100799</v>
      </c>
      <c r="H144" s="13" t="n">
        <v>0.0284096449860254</v>
      </c>
      <c r="I144" s="13" t="n">
        <v>0.0663241672838914</v>
      </c>
      <c r="J144" s="13" t="n">
        <v>-0.13911508354619</v>
      </c>
      <c r="K144" s="13" t="n">
        <v>0.83488623952205</v>
      </c>
    </row>
    <row r="145" customFormat="false" ht="15" hidden="false" customHeight="false" outlineLevel="0" collapsed="false">
      <c r="A145" s="12" t="n">
        <v>1974</v>
      </c>
      <c r="B145" s="12" t="n">
        <v>12</v>
      </c>
      <c r="C145" s="13" t="n">
        <v>2.76074193548387</v>
      </c>
      <c r="D145" s="13" t="n">
        <v>2.05581451534357</v>
      </c>
      <c r="E145" s="13" t="n">
        <v>0.704927420140297</v>
      </c>
      <c r="F145" s="13" t="n">
        <v>-0.0811359552457741</v>
      </c>
      <c r="G145" s="13" t="n">
        <v>0.0276851990850015</v>
      </c>
      <c r="H145" s="13" t="n">
        <v>0.00775544602792127</v>
      </c>
      <c r="I145" s="13" t="n">
        <v>0.0654435791896384</v>
      </c>
      <c r="J145" s="13" t="n">
        <v>-0.144749402051768</v>
      </c>
      <c r="K145" s="13" t="n">
        <v>0.829928553135278</v>
      </c>
    </row>
    <row r="146" customFormat="false" ht="15" hidden="false" customHeight="false" outlineLevel="0" collapsed="false">
      <c r="A146" s="12" t="n">
        <v>1975</v>
      </c>
      <c r="B146" s="12" t="n">
        <v>1</v>
      </c>
      <c r="C146" s="13" t="n">
        <v>2.81083870967742</v>
      </c>
      <c r="D146" s="13" t="n">
        <v>2.02109078011339</v>
      </c>
      <c r="E146" s="13" t="n">
        <v>0.789747929564033</v>
      </c>
      <c r="F146" s="13" t="n">
        <v>0.0310077769797946</v>
      </c>
      <c r="G146" s="13" t="n">
        <v>0.0312742486892135</v>
      </c>
      <c r="H146" s="13" t="n">
        <v>-0.0126139785100703</v>
      </c>
      <c r="I146" s="13" t="n">
        <v>0.0571112653905729</v>
      </c>
      <c r="J146" s="13" t="n">
        <v>-0.147514744398998</v>
      </c>
      <c r="K146" s="13" t="n">
        <v>0.83048336141352</v>
      </c>
    </row>
    <row r="147" customFormat="false" ht="15" hidden="false" customHeight="false" outlineLevel="0" collapsed="false">
      <c r="A147" s="12" t="n">
        <v>1975</v>
      </c>
      <c r="B147" s="12" t="n">
        <v>2</v>
      </c>
      <c r="C147" s="13" t="n">
        <v>2.9495</v>
      </c>
      <c r="D147" s="13" t="n">
        <v>2.17036025397716</v>
      </c>
      <c r="E147" s="13" t="n">
        <v>0.779139746022844</v>
      </c>
      <c r="F147" s="13" t="n">
        <v>0.0585713093884408</v>
      </c>
      <c r="G147" s="13" t="n">
        <v>0.0217296263650217</v>
      </c>
      <c r="H147" s="13" t="n">
        <v>-0.0272652846053987</v>
      </c>
      <c r="I147" s="13" t="n">
        <v>0.0423344889266152</v>
      </c>
      <c r="J147" s="13" t="n">
        <v>-0.147250704590289</v>
      </c>
      <c r="K147" s="13" t="n">
        <v>0.831020310538454</v>
      </c>
    </row>
    <row r="148" customFormat="false" ht="15" hidden="false" customHeight="false" outlineLevel="0" collapsed="false">
      <c r="A148" s="12" t="n">
        <v>1975</v>
      </c>
      <c r="B148" s="12" t="n">
        <v>3</v>
      </c>
      <c r="C148" s="13" t="n">
        <v>2.97338709677419</v>
      </c>
      <c r="D148" s="13" t="n">
        <v>2.31934369149218</v>
      </c>
      <c r="E148" s="13" t="n">
        <v>0.654043405282016</v>
      </c>
      <c r="F148" s="13" t="n">
        <v>-0.0261015001493385</v>
      </c>
      <c r="G148" s="13" t="n">
        <v>0.00300241845404621</v>
      </c>
      <c r="H148" s="13" t="n">
        <v>-0.0324344099521143</v>
      </c>
      <c r="I148" s="13" t="n">
        <v>0.0228361116537659</v>
      </c>
      <c r="J148" s="13" t="n">
        <v>-0.143857376951062</v>
      </c>
      <c r="K148" s="13" t="n">
        <v>0.830598162226718</v>
      </c>
    </row>
    <row r="149" customFormat="false" ht="15" hidden="false" customHeight="false" outlineLevel="0" collapsed="false">
      <c r="A149" s="12" t="n">
        <v>1975</v>
      </c>
      <c r="B149" s="12" t="n">
        <v>4</v>
      </c>
      <c r="C149" s="13" t="n">
        <v>2.99743333333333</v>
      </c>
      <c r="D149" s="13" t="n">
        <v>2.392642887072</v>
      </c>
      <c r="E149" s="13" t="n">
        <v>0.604790446261332</v>
      </c>
      <c r="F149" s="13" t="n">
        <v>-0.043936948239431</v>
      </c>
      <c r="G149" s="13" t="n">
        <v>-0.0206945469913366</v>
      </c>
      <c r="H149" s="13" t="n">
        <v>-0.0269881459881676</v>
      </c>
      <c r="I149" s="13" t="n">
        <v>0.000859309612857963</v>
      </c>
      <c r="J149" s="13" t="n">
        <v>-0.137316235890148</v>
      </c>
      <c r="K149" s="13" t="n">
        <v>0.832867013757557</v>
      </c>
    </row>
    <row r="150" customFormat="false" ht="15" hidden="false" customHeight="false" outlineLevel="0" collapsed="false">
      <c r="A150" s="12" t="n">
        <v>1975</v>
      </c>
      <c r="B150" s="12" t="n">
        <v>5</v>
      </c>
      <c r="C150" s="13" t="n">
        <v>2.75706451612903</v>
      </c>
      <c r="D150" s="13" t="n">
        <v>2.15106902567039</v>
      </c>
      <c r="E150" s="13" t="n">
        <v>0.605995490458647</v>
      </c>
      <c r="F150" s="13" t="n">
        <v>-0.0281360338868935</v>
      </c>
      <c r="G150" s="13" t="n">
        <v>-0.0406085127505544</v>
      </c>
      <c r="H150" s="13" t="n">
        <v>-0.012710903771944</v>
      </c>
      <c r="I150" s="13" t="n">
        <v>-0.0210847112661697</v>
      </c>
      <c r="J150" s="13" t="n">
        <v>-0.127709299189242</v>
      </c>
      <c r="K150" s="13" t="n">
        <v>0.83624495132345</v>
      </c>
    </row>
    <row r="151" customFormat="false" ht="15" hidden="false" customHeight="false" outlineLevel="0" collapsed="false">
      <c r="A151" s="12" t="n">
        <v>1975</v>
      </c>
      <c r="B151" s="12" t="n">
        <v>6</v>
      </c>
      <c r="C151" s="13" t="n">
        <v>2.34796666666667</v>
      </c>
      <c r="D151" s="13" t="n">
        <v>1.57632953430571</v>
      </c>
      <c r="E151" s="13" t="n">
        <v>0.771637132360954</v>
      </c>
      <c r="F151" s="13" t="n">
        <v>0.132644175511082</v>
      </c>
      <c r="G151" s="13" t="n">
        <v>-0.0437244770259315</v>
      </c>
      <c r="H151" s="13" t="n">
        <v>0.00615717665451741</v>
      </c>
      <c r="I151" s="13" t="n">
        <v>-0.040497973334482</v>
      </c>
      <c r="J151" s="13" t="n">
        <v>-0.115234153156337</v>
      </c>
      <c r="K151" s="13" t="n">
        <v>0.832292383712105</v>
      </c>
    </row>
    <row r="152" customFormat="false" ht="15" hidden="false" customHeight="false" outlineLevel="0" collapsed="false">
      <c r="A152" s="12" t="n">
        <v>1975</v>
      </c>
      <c r="B152" s="12" t="n">
        <v>7</v>
      </c>
      <c r="C152" s="13" t="n">
        <v>1.84012903225806</v>
      </c>
      <c r="D152" s="13" t="n">
        <v>1.24421674476631</v>
      </c>
      <c r="E152" s="13" t="n">
        <v>0.595912287491752</v>
      </c>
      <c r="F152" s="13" t="n">
        <v>-0.0693218063262974</v>
      </c>
      <c r="G152" s="13" t="n">
        <v>-0.0219627503918812</v>
      </c>
      <c r="H152" s="13" t="n">
        <v>0.0240184960971464</v>
      </c>
      <c r="I152" s="13" t="n">
        <v>-0.0551747955563558</v>
      </c>
      <c r="J152" s="13" t="n">
        <v>-0.100212627707184</v>
      </c>
      <c r="K152" s="13" t="n">
        <v>0.818565771376324</v>
      </c>
    </row>
    <row r="153" customFormat="false" ht="15" hidden="false" customHeight="false" outlineLevel="0" collapsed="false">
      <c r="A153" s="12" t="n">
        <v>1975</v>
      </c>
      <c r="B153" s="12" t="n">
        <v>8</v>
      </c>
      <c r="C153" s="13" t="n">
        <v>2.15545161290323</v>
      </c>
      <c r="D153" s="13" t="n">
        <v>1.43895879998368</v>
      </c>
      <c r="E153" s="13" t="n">
        <v>0.716492812919547</v>
      </c>
      <c r="F153" s="13" t="n">
        <v>0.0040234665043488</v>
      </c>
      <c r="G153" s="13" t="n">
        <v>0.017093107003502</v>
      </c>
      <c r="H153" s="13" t="n">
        <v>0.0353812481490886</v>
      </c>
      <c r="I153" s="13" t="n">
        <v>-0.0634478055878772</v>
      </c>
      <c r="J153" s="13" t="n">
        <v>-0.083091402017686</v>
      </c>
      <c r="K153" s="13" t="n">
        <v>0.806534198868171</v>
      </c>
    </row>
    <row r="154" customFormat="false" ht="15" hidden="false" customHeight="false" outlineLevel="0" collapsed="false">
      <c r="A154" s="12" t="n">
        <v>1975</v>
      </c>
      <c r="B154" s="12" t="n">
        <v>9</v>
      </c>
      <c r="C154" s="13" t="n">
        <v>2.50856666666667</v>
      </c>
      <c r="D154" s="13" t="n">
        <v>1.85160065624659</v>
      </c>
      <c r="E154" s="13" t="n">
        <v>0.656966010420078</v>
      </c>
      <c r="F154" s="13" t="n">
        <v>-0.110347321467551</v>
      </c>
      <c r="G154" s="13" t="n">
        <v>0.0507397317977127</v>
      </c>
      <c r="H154" s="13" t="n">
        <v>0.0363231859145203</v>
      </c>
      <c r="I154" s="13" t="n">
        <v>-0.0643737246799013</v>
      </c>
      <c r="J154" s="13" t="n">
        <v>-0.0644334895900541</v>
      </c>
      <c r="K154" s="13" t="n">
        <v>0.809057628445352</v>
      </c>
    </row>
    <row r="155" customFormat="false" ht="15" hidden="false" customHeight="false" outlineLevel="0" collapsed="false">
      <c r="A155" s="12" t="n">
        <v>1975</v>
      </c>
      <c r="B155" s="12" t="n">
        <v>10</v>
      </c>
      <c r="C155" s="13" t="n">
        <v>3.09906451612903</v>
      </c>
      <c r="D155" s="13" t="n">
        <v>2.18589793702106</v>
      </c>
      <c r="E155" s="13" t="n">
        <v>0.913166579107969</v>
      </c>
      <c r="F155" s="13" t="n">
        <v>0.110543558010335</v>
      </c>
      <c r="G155" s="13" t="n">
        <v>0.0568441597257492</v>
      </c>
      <c r="H155" s="13" t="n">
        <v>0.0255874195704193</v>
      </c>
      <c r="I155" s="13" t="n">
        <v>-0.0578384375337155</v>
      </c>
      <c r="J155" s="13" t="n">
        <v>-0.0449003104759845</v>
      </c>
      <c r="K155" s="13" t="n">
        <v>0.822930189811165</v>
      </c>
    </row>
    <row r="156" customFormat="false" ht="15" hidden="false" customHeight="false" outlineLevel="0" collapsed="false">
      <c r="A156" s="12" t="n">
        <v>1975</v>
      </c>
      <c r="B156" s="12" t="n">
        <v>11</v>
      </c>
      <c r="C156" s="13" t="n">
        <v>3.1124</v>
      </c>
      <c r="D156" s="13" t="n">
        <v>2.2448993030697</v>
      </c>
      <c r="E156" s="13" t="n">
        <v>0.867500696930301</v>
      </c>
      <c r="F156" s="13" t="n">
        <v>0.0679924856125884</v>
      </c>
      <c r="G156" s="13" t="n">
        <v>0.0324175023051188</v>
      </c>
      <c r="H156" s="13" t="n">
        <v>0.00502817913961053</v>
      </c>
      <c r="I156" s="13" t="n">
        <v>-0.0445697911033205</v>
      </c>
      <c r="J156" s="13" t="n">
        <v>-0.0252248542535017</v>
      </c>
      <c r="K156" s="13" t="n">
        <v>0.831857175229806</v>
      </c>
    </row>
    <row r="157" customFormat="false" ht="15" hidden="false" customHeight="false" outlineLevel="0" collapsed="false">
      <c r="A157" s="12" t="n">
        <v>1975</v>
      </c>
      <c r="B157" s="12" t="n">
        <v>12</v>
      </c>
      <c r="C157" s="13" t="n">
        <v>2.77754838709677</v>
      </c>
      <c r="D157" s="13" t="n">
        <v>2.07961808897361</v>
      </c>
      <c r="E157" s="13" t="n">
        <v>0.697930298123161</v>
      </c>
      <c r="F157" s="13" t="n">
        <v>-0.0728354774647732</v>
      </c>
      <c r="G157" s="13" t="n">
        <v>-0.0032900336134682</v>
      </c>
      <c r="H157" s="13" t="n">
        <v>-0.0207192308209456</v>
      </c>
      <c r="I157" s="13" t="n">
        <v>-0.0260567616623396</v>
      </c>
      <c r="J157" s="13" t="n">
        <v>-0.0061771839279651</v>
      </c>
      <c r="K157" s="13" t="n">
        <v>0.827008985612653</v>
      </c>
    </row>
    <row r="158" customFormat="false" ht="15" hidden="false" customHeight="false" outlineLevel="0" collapsed="false">
      <c r="A158" s="12" t="n">
        <v>1976</v>
      </c>
      <c r="B158" s="12" t="n">
        <v>1</v>
      </c>
      <c r="C158" s="13" t="n">
        <v>2.79090322580645</v>
      </c>
      <c r="D158" s="13" t="n">
        <v>2.04357032916014</v>
      </c>
      <c r="E158" s="13" t="n">
        <v>0.747332896646311</v>
      </c>
      <c r="F158" s="13" t="n">
        <v>-0.00593211155349525</v>
      </c>
      <c r="G158" s="13" t="n">
        <v>-0.026235860097363</v>
      </c>
      <c r="H158" s="13" t="n">
        <v>-0.0452814388570222</v>
      </c>
      <c r="I158" s="13" t="n">
        <v>-0.00438396491979267</v>
      </c>
      <c r="J158" s="13" t="n">
        <v>0.0114758754766945</v>
      </c>
      <c r="K158" s="13" t="n">
        <v>0.81769039659729</v>
      </c>
    </row>
    <row r="159" customFormat="false" ht="15" hidden="false" customHeight="false" outlineLevel="0" collapsed="false">
      <c r="A159" s="12" t="n">
        <v>1976</v>
      </c>
      <c r="B159" s="12" t="n">
        <v>2</v>
      </c>
      <c r="C159" s="13" t="n">
        <v>2.88203448275862</v>
      </c>
      <c r="D159" s="13" t="n">
        <v>2.19138055600591</v>
      </c>
      <c r="E159" s="13" t="n">
        <v>0.690653926752716</v>
      </c>
      <c r="F159" s="13" t="n">
        <v>-0.0818147434991985</v>
      </c>
      <c r="G159" s="13" t="n">
        <v>-0.0293561365616231</v>
      </c>
      <c r="H159" s="13" t="n">
        <v>-0.0620646922794336</v>
      </c>
      <c r="I159" s="13" t="n">
        <v>0.0180001778728083</v>
      </c>
      <c r="J159" s="13" t="n">
        <v>0.0270145945655707</v>
      </c>
      <c r="K159" s="13" t="n">
        <v>0.818874726654592</v>
      </c>
    </row>
    <row r="160" customFormat="false" ht="15" hidden="false" customHeight="false" outlineLevel="0" collapsed="false">
      <c r="A160" s="12" t="n">
        <v>1976</v>
      </c>
      <c r="B160" s="12" t="n">
        <v>3</v>
      </c>
      <c r="C160" s="13" t="n">
        <v>3.2341935483871</v>
      </c>
      <c r="D160" s="13" t="n">
        <v>2.33876363429364</v>
      </c>
      <c r="E160" s="13" t="n">
        <v>0.895429914093457</v>
      </c>
      <c r="F160" s="13" t="n">
        <v>0.0761213561949409</v>
      </c>
      <c r="G160" s="13" t="n">
        <v>-0.0260903579145378</v>
      </c>
      <c r="H160" s="13" t="n">
        <v>-0.0658891635979229</v>
      </c>
      <c r="I160" s="13" t="n">
        <v>0.0385559904669811</v>
      </c>
      <c r="J160" s="13" t="n">
        <v>0.0398111205898861</v>
      </c>
      <c r="K160" s="13" t="n">
        <v>0.83292096835411</v>
      </c>
    </row>
    <row r="161" customFormat="false" ht="15" hidden="false" customHeight="false" outlineLevel="0" collapsed="false">
      <c r="A161" s="12" t="n">
        <v>1976</v>
      </c>
      <c r="B161" s="12" t="n">
        <v>4</v>
      </c>
      <c r="C161" s="13" t="n">
        <v>3.31676666666667</v>
      </c>
      <c r="D161" s="13" t="n">
        <v>2.41031597420258</v>
      </c>
      <c r="E161" s="13" t="n">
        <v>0.906450692464088</v>
      </c>
      <c r="F161" s="13" t="n">
        <v>0.0397633942107964</v>
      </c>
      <c r="G161" s="13" t="n">
        <v>-0.0311326436110583</v>
      </c>
      <c r="H161" s="13" t="n">
        <v>-0.0543468785725147</v>
      </c>
      <c r="I161" s="13" t="n">
        <v>0.0549356935991886</v>
      </c>
      <c r="J161" s="13" t="n">
        <v>0.0493721998119629</v>
      </c>
      <c r="K161" s="13" t="n">
        <v>0.847858927025713</v>
      </c>
    </row>
    <row r="162" customFormat="false" ht="15" hidden="false" customHeight="false" outlineLevel="0" collapsed="false">
      <c r="A162" s="12" t="n">
        <v>1976</v>
      </c>
      <c r="B162" s="12" t="n">
        <v>5</v>
      </c>
      <c r="C162" s="13" t="n">
        <v>3.11622580645161</v>
      </c>
      <c r="D162" s="13" t="n">
        <v>2.16684390729158</v>
      </c>
      <c r="E162" s="13" t="n">
        <v>0.949381899160033</v>
      </c>
      <c r="F162" s="13" t="n">
        <v>0.044697241915015</v>
      </c>
      <c r="G162" s="13" t="n">
        <v>-0.0391332770987444</v>
      </c>
      <c r="H162" s="13" t="n">
        <v>-0.0285489657022697</v>
      </c>
      <c r="I162" s="13" t="n">
        <v>0.0652458731522717</v>
      </c>
      <c r="J162" s="13" t="n">
        <v>0.0553765617759058</v>
      </c>
      <c r="K162" s="13" t="n">
        <v>0.851744465117855</v>
      </c>
    </row>
    <row r="163" customFormat="false" ht="15" hidden="false" customHeight="false" outlineLevel="0" collapsed="false">
      <c r="A163" s="12" t="n">
        <v>1976</v>
      </c>
      <c r="B163" s="12" t="n">
        <v>6</v>
      </c>
      <c r="C163" s="13" t="n">
        <v>2.39033333333333</v>
      </c>
      <c r="D163" s="13" t="n">
        <v>1.59005056159196</v>
      </c>
      <c r="E163" s="13" t="n">
        <v>0.800282771741377</v>
      </c>
      <c r="F163" s="13" t="n">
        <v>-0.150292467469794</v>
      </c>
      <c r="G163" s="13" t="n">
        <v>-0.0267957035655152</v>
      </c>
      <c r="H163" s="13" t="n">
        <v>0.00693329349074331</v>
      </c>
      <c r="I163" s="13" t="n">
        <v>0.0682602529764669</v>
      </c>
      <c r="J163" s="13" t="n">
        <v>0.0577036192655856</v>
      </c>
      <c r="K163" s="13" t="n">
        <v>0.84447377704389</v>
      </c>
    </row>
    <row r="164" customFormat="false" ht="15" hidden="false" customHeight="false" outlineLevel="0" collapsed="false">
      <c r="A164" s="12" t="n">
        <v>1976</v>
      </c>
      <c r="B164" s="12" t="n">
        <v>7</v>
      </c>
      <c r="C164" s="13" t="n">
        <v>2.40193548387097</v>
      </c>
      <c r="D164" s="13" t="n">
        <v>1.25572454608378</v>
      </c>
      <c r="E164" s="13" t="n">
        <v>1.14621093778719</v>
      </c>
      <c r="F164" s="13" t="n">
        <v>0.125977474533636</v>
      </c>
      <c r="G164" s="13" t="n">
        <v>0.0198949324842772</v>
      </c>
      <c r="H164" s="13" t="n">
        <v>0.0449427906332652</v>
      </c>
      <c r="I164" s="13" t="n">
        <v>0.0635592253731329</v>
      </c>
      <c r="J164" s="13" t="n">
        <v>0.056450424827419</v>
      </c>
      <c r="K164" s="13" t="n">
        <v>0.835386089935458</v>
      </c>
    </row>
    <row r="165" customFormat="false" ht="15" hidden="false" customHeight="false" outlineLevel="0" collapsed="false">
      <c r="A165" s="12" t="n">
        <v>1976</v>
      </c>
      <c r="B165" s="12" t="n">
        <v>8</v>
      </c>
      <c r="C165" s="13" t="n">
        <v>2.37451612903226</v>
      </c>
      <c r="D165" s="13" t="n">
        <v>1.44809087691985</v>
      </c>
      <c r="E165" s="13" t="n">
        <v>0.926425252112413</v>
      </c>
      <c r="F165" s="13" t="n">
        <v>-0.167621914619973</v>
      </c>
      <c r="G165" s="13" t="n">
        <v>0.0806042651109658</v>
      </c>
      <c r="H165" s="13" t="n">
        <v>0.0772451751241017</v>
      </c>
      <c r="I165" s="13" t="n">
        <v>0.0515806438058149</v>
      </c>
      <c r="J165" s="13" t="n">
        <v>0.0519344658226735</v>
      </c>
      <c r="K165" s="13" t="n">
        <v>0.832682616868831</v>
      </c>
    </row>
    <row r="166" customFormat="false" ht="15" hidden="false" customHeight="false" outlineLevel="0" collapsed="false">
      <c r="A166" s="12" t="n">
        <v>1976</v>
      </c>
      <c r="B166" s="12" t="n">
        <v>9</v>
      </c>
      <c r="C166" s="13" t="n">
        <v>3.09146666666667</v>
      </c>
      <c r="D166" s="13" t="n">
        <v>1.858191997559</v>
      </c>
      <c r="E166" s="13" t="n">
        <v>1.23327466910767</v>
      </c>
      <c r="F166" s="13" t="n">
        <v>0.114041114560741</v>
      </c>
      <c r="G166" s="13" t="n">
        <v>0.107761224245896</v>
      </c>
      <c r="H166" s="13" t="n">
        <v>0.0963407127542219</v>
      </c>
      <c r="I166" s="13" t="n">
        <v>0.0335761334897861</v>
      </c>
      <c r="J166" s="13" t="n">
        <v>0.0446808148930979</v>
      </c>
      <c r="K166" s="13" t="n">
        <v>0.836874669163929</v>
      </c>
    </row>
    <row r="167" customFormat="false" ht="15" hidden="false" customHeight="false" outlineLevel="0" collapsed="false">
      <c r="A167" s="12" t="n">
        <v>1976</v>
      </c>
      <c r="B167" s="12" t="n">
        <v>10</v>
      </c>
      <c r="C167" s="13" t="n">
        <v>3.32635483870968</v>
      </c>
      <c r="D167" s="13" t="n">
        <v>2.18978164847684</v>
      </c>
      <c r="E167" s="13" t="n">
        <v>1.13657319023284</v>
      </c>
      <c r="F167" s="13" t="n">
        <v>0.0834039307149957</v>
      </c>
      <c r="G167" s="13" t="n">
        <v>0.0660056095752351</v>
      </c>
      <c r="H167" s="13" t="n">
        <v>0.0971737876356726</v>
      </c>
      <c r="I167" s="13" t="n">
        <v>0.0114775530646566</v>
      </c>
      <c r="J167" s="13" t="n">
        <v>0.0353933507958105</v>
      </c>
      <c r="K167" s="13" t="n">
        <v>0.843118958446472</v>
      </c>
    </row>
    <row r="168" customFormat="false" ht="15" hidden="false" customHeight="false" outlineLevel="0" collapsed="false">
      <c r="A168" s="12" t="n">
        <v>1976</v>
      </c>
      <c r="B168" s="12" t="n">
        <v>11</v>
      </c>
      <c r="C168" s="13" t="n">
        <v>3.067</v>
      </c>
      <c r="D168" s="13" t="n">
        <v>2.24590725108168</v>
      </c>
      <c r="E168" s="13" t="n">
        <v>0.821092748918317</v>
      </c>
      <c r="F168" s="13" t="n">
        <v>-0.0872303379143953</v>
      </c>
      <c r="G168" s="13" t="n">
        <v>-0.0302750912410068</v>
      </c>
      <c r="H168" s="13" t="n">
        <v>0.0783521791331943</v>
      </c>
      <c r="I168" s="13" t="n">
        <v>-0.0123118956239508</v>
      </c>
      <c r="J168" s="13" t="n">
        <v>0.024911210617898</v>
      </c>
      <c r="K168" s="13" t="n">
        <v>0.847646683946577</v>
      </c>
    </row>
    <row r="169" customFormat="false" ht="15" hidden="false" customHeight="false" outlineLevel="0" collapsed="false">
      <c r="A169" s="12" t="n">
        <v>1976</v>
      </c>
      <c r="B169" s="12" t="n">
        <v>12</v>
      </c>
      <c r="C169" s="13" t="n">
        <v>2.82435483870968</v>
      </c>
      <c r="D169" s="13" t="n">
        <v>2.07758155593275</v>
      </c>
      <c r="E169" s="13" t="n">
        <v>0.746773282776928</v>
      </c>
      <c r="F169" s="13" t="n">
        <v>-0.00677160871751093</v>
      </c>
      <c r="G169" s="13" t="n">
        <v>-0.119015865168616</v>
      </c>
      <c r="H169" s="13" t="n">
        <v>0.0425941795864155</v>
      </c>
      <c r="I169" s="13" t="n">
        <v>-0.0351791443536586</v>
      </c>
      <c r="J169" s="13" t="n">
        <v>0.0141532334139079</v>
      </c>
      <c r="K169" s="13" t="n">
        <v>0.85099248801639</v>
      </c>
    </row>
    <row r="170" customFormat="false" ht="15" hidden="false" customHeight="false" outlineLevel="0" collapsed="false">
      <c r="A170" s="12" t="n">
        <v>1977</v>
      </c>
      <c r="B170" s="12" t="n">
        <v>1</v>
      </c>
      <c r="C170" s="13" t="n">
        <v>2.76890322580645</v>
      </c>
      <c r="D170" s="13" t="n">
        <v>2.03832067827011</v>
      </c>
      <c r="E170" s="13" t="n">
        <v>0.730582547536347</v>
      </c>
      <c r="F170" s="13" t="n">
        <v>0.0645588282611392</v>
      </c>
      <c r="G170" s="13" t="n">
        <v>-0.135821983033956</v>
      </c>
      <c r="H170" s="13" t="n">
        <v>-0.00370869671997916</v>
      </c>
      <c r="I170" s="13" t="n">
        <v>-0.0545867886017946</v>
      </c>
      <c r="J170" s="13" t="n">
        <v>0.00405466117186343</v>
      </c>
      <c r="K170" s="13" t="n">
        <v>0.856086526459073</v>
      </c>
    </row>
    <row r="171" customFormat="false" ht="15" hidden="false" customHeight="false" outlineLevel="0" collapsed="false">
      <c r="A171" s="12" t="n">
        <v>1977</v>
      </c>
      <c r="B171" s="12" t="n">
        <v>2</v>
      </c>
      <c r="C171" s="13" t="n">
        <v>2.69582142857143</v>
      </c>
      <c r="D171" s="13" t="n">
        <v>2.18274990342059</v>
      </c>
      <c r="E171" s="13" t="n">
        <v>0.513071525150838</v>
      </c>
      <c r="F171" s="13" t="n">
        <v>-0.160467805883247</v>
      </c>
      <c r="G171" s="13" t="n">
        <v>-0.0656947425494015</v>
      </c>
      <c r="H171" s="13" t="n">
        <v>-0.0517308822427201</v>
      </c>
      <c r="I171" s="13" t="n">
        <v>-0.0683514977411439</v>
      </c>
      <c r="J171" s="13" t="n">
        <v>-0.00449857477079732</v>
      </c>
      <c r="K171" s="13" t="n">
        <v>0.863815028338148</v>
      </c>
    </row>
    <row r="172" customFormat="false" ht="15" hidden="false" customHeight="false" outlineLevel="0" collapsed="false">
      <c r="A172" s="12" t="n">
        <v>1977</v>
      </c>
      <c r="B172" s="12" t="n">
        <v>3</v>
      </c>
      <c r="C172" s="13" t="n">
        <v>3.12670967741936</v>
      </c>
      <c r="D172" s="13" t="n">
        <v>2.32658552632702</v>
      </c>
      <c r="E172" s="13" t="n">
        <v>0.800124151092336</v>
      </c>
      <c r="F172" s="13" t="n">
        <v>0.0642144158576864</v>
      </c>
      <c r="G172" s="13" t="n">
        <v>0.0438102684068273</v>
      </c>
      <c r="H172" s="13" t="n">
        <v>-0.091995140423274</v>
      </c>
      <c r="I172" s="13" t="n">
        <v>-0.0748849038614169</v>
      </c>
      <c r="J172" s="13" t="n">
        <v>-0.0107323130666353</v>
      </c>
      <c r="K172" s="13" t="n">
        <v>0.869711824179149</v>
      </c>
    </row>
    <row r="173" customFormat="false" ht="15" hidden="false" customHeight="false" outlineLevel="0" collapsed="false">
      <c r="A173" s="12" t="n">
        <v>1977</v>
      </c>
      <c r="B173" s="12" t="n">
        <v>4</v>
      </c>
      <c r="C173" s="13" t="n">
        <v>3.26286666666667</v>
      </c>
      <c r="D173" s="13" t="n">
        <v>2.3944260673394</v>
      </c>
      <c r="E173" s="13" t="n">
        <v>0.868440599327271</v>
      </c>
      <c r="F173" s="13" t="n">
        <v>0.085477393157163</v>
      </c>
      <c r="G173" s="13" t="n">
        <v>0.119655879453526</v>
      </c>
      <c r="H173" s="13" t="n">
        <v>-0.116320825134293</v>
      </c>
      <c r="I173" s="13" t="n">
        <v>-0.0733706585047278</v>
      </c>
      <c r="J173" s="13" t="n">
        <v>-0.0140381297743109</v>
      </c>
      <c r="K173" s="13" t="n">
        <v>0.867036940129914</v>
      </c>
    </row>
    <row r="174" customFormat="false" ht="15" hidden="false" customHeight="false" outlineLevel="0" collapsed="false">
      <c r="A174" s="12" t="n">
        <v>1977</v>
      </c>
      <c r="B174" s="12" t="n">
        <v>5</v>
      </c>
      <c r="C174" s="13" t="n">
        <v>2.971</v>
      </c>
      <c r="D174" s="13" t="n">
        <v>2.14708064873889</v>
      </c>
      <c r="E174" s="13" t="n">
        <v>0.823919351261107</v>
      </c>
      <c r="F174" s="13" t="n">
        <v>0.0466791012913041</v>
      </c>
      <c r="G174" s="13" t="n">
        <v>0.118329411500995</v>
      </c>
      <c r="H174" s="13" t="n">
        <v>-0.119524786145967</v>
      </c>
      <c r="I174" s="13" t="n">
        <v>-0.0638583004800046</v>
      </c>
      <c r="J174" s="13" t="n">
        <v>-0.0140146015834448</v>
      </c>
      <c r="K174" s="13" t="n">
        <v>0.856308526678225</v>
      </c>
    </row>
    <row r="175" customFormat="false" ht="15" hidden="false" customHeight="false" outlineLevel="0" collapsed="false">
      <c r="A175" s="12" t="n">
        <v>1977</v>
      </c>
      <c r="B175" s="12" t="n">
        <v>6</v>
      </c>
      <c r="C175" s="13" t="n">
        <v>2.21686666666667</v>
      </c>
      <c r="D175" s="13" t="n">
        <v>1.56625586808713</v>
      </c>
      <c r="E175" s="13" t="n">
        <v>0.650610798579535</v>
      </c>
      <c r="F175" s="13" t="n">
        <v>-0.0924627560154577</v>
      </c>
      <c r="G175" s="13" t="n">
        <v>0.0526762595751361</v>
      </c>
      <c r="H175" s="13" t="n">
        <v>-0.100515286995577</v>
      </c>
      <c r="I175" s="13" t="n">
        <v>-0.0472636268639766</v>
      </c>
      <c r="J175" s="13" t="n">
        <v>-0.0104929768156818</v>
      </c>
      <c r="K175" s="13" t="n">
        <v>0.848669185695093</v>
      </c>
    </row>
    <row r="176" customFormat="false" ht="15" hidden="false" customHeight="false" outlineLevel="0" collapsed="false">
      <c r="A176" s="12" t="n">
        <v>1977</v>
      </c>
      <c r="B176" s="12" t="n">
        <v>7</v>
      </c>
      <c r="C176" s="13" t="n">
        <v>1.92712903225807</v>
      </c>
      <c r="D176" s="13" t="n">
        <v>1.22774447866601</v>
      </c>
      <c r="E176" s="13" t="n">
        <v>0.69938455359205</v>
      </c>
      <c r="F176" s="13" t="n">
        <v>-0.035099569398591</v>
      </c>
      <c r="G176" s="13" t="n">
        <v>-0.0275357944365482</v>
      </c>
      <c r="H176" s="13" t="n">
        <v>-0.0625495469446961</v>
      </c>
      <c r="I176" s="13" t="n">
        <v>-0.025275409363072</v>
      </c>
      <c r="J176" s="13" t="n">
        <v>-0.0035457347612433</v>
      </c>
      <c r="K176" s="13" t="n">
        <v>0.853390608496201</v>
      </c>
    </row>
    <row r="177" customFormat="false" ht="15" hidden="false" customHeight="false" outlineLevel="0" collapsed="false">
      <c r="A177" s="12" t="n">
        <v>1977</v>
      </c>
      <c r="B177" s="12" t="n">
        <v>8</v>
      </c>
      <c r="C177" s="13" t="n">
        <v>2.10770967741936</v>
      </c>
      <c r="D177" s="13" t="n">
        <v>1.41577630941803</v>
      </c>
      <c r="E177" s="13" t="n">
        <v>0.691933368001324</v>
      </c>
      <c r="F177" s="13" t="n">
        <v>-0.0872508936050648</v>
      </c>
      <c r="G177" s="13" t="n">
        <v>-0.0779411224601877</v>
      </c>
      <c r="H177" s="13" t="n">
        <v>-0.0126033765151698</v>
      </c>
      <c r="I177" s="13" t="n">
        <v>-0.000178439960929481</v>
      </c>
      <c r="J177" s="13" t="n">
        <v>0.00652215059551572</v>
      </c>
      <c r="K177" s="13" t="n">
        <v>0.86338504994716</v>
      </c>
    </row>
    <row r="178" customFormat="false" ht="15" hidden="false" customHeight="false" outlineLevel="0" collapsed="false">
      <c r="A178" s="12" t="n">
        <v>1977</v>
      </c>
      <c r="B178" s="12" t="n">
        <v>9</v>
      </c>
      <c r="C178" s="13" t="n">
        <v>2.87093333333333</v>
      </c>
      <c r="D178" s="13" t="n">
        <v>1.82139927651338</v>
      </c>
      <c r="E178" s="13" t="n">
        <v>1.04953405681996</v>
      </c>
      <c r="F178" s="13" t="n">
        <v>0.189312818077964</v>
      </c>
      <c r="G178" s="13" t="n">
        <v>-0.0859771383881686</v>
      </c>
      <c r="H178" s="13" t="n">
        <v>0.0400118148438133</v>
      </c>
      <c r="I178" s="13" t="n">
        <v>0.0253880795407041</v>
      </c>
      <c r="J178" s="13" t="n">
        <v>0.0191980652409298</v>
      </c>
      <c r="K178" s="13" t="n">
        <v>0.861600417504715</v>
      </c>
    </row>
    <row r="179" customFormat="false" ht="15" hidden="false" customHeight="false" outlineLevel="0" collapsed="false">
      <c r="A179" s="12" t="n">
        <v>1977</v>
      </c>
      <c r="B179" s="12" t="n">
        <v>10</v>
      </c>
      <c r="C179" s="13" t="n">
        <v>3.14393548387097</v>
      </c>
      <c r="D179" s="13" t="n">
        <v>2.14837324226144</v>
      </c>
      <c r="E179" s="13" t="n">
        <v>0.995562241609525</v>
      </c>
      <c r="F179" s="13" t="n">
        <v>0.0476336469685697</v>
      </c>
      <c r="G179" s="13" t="n">
        <v>-0.0644901043318009</v>
      </c>
      <c r="H179" s="13" t="n">
        <v>0.085493528195805</v>
      </c>
      <c r="I179" s="13" t="n">
        <v>0.0487108455104025</v>
      </c>
      <c r="J179" s="13" t="n">
        <v>0.0338001729795052</v>
      </c>
      <c r="K179" s="13" t="n">
        <v>0.844414152287043</v>
      </c>
    </row>
    <row r="180" customFormat="false" ht="15" hidden="false" customHeight="false" outlineLevel="0" collapsed="false">
      <c r="A180" s="12" t="n">
        <v>1977</v>
      </c>
      <c r="B180" s="12" t="n">
        <v>11</v>
      </c>
      <c r="C180" s="13" t="n">
        <v>3.06663333333333</v>
      </c>
      <c r="D180" s="13" t="n">
        <v>2.19975238603831</v>
      </c>
      <c r="E180" s="13" t="n">
        <v>0.866880947295029</v>
      </c>
      <c r="F180" s="13" t="n">
        <v>-0.166848834358419</v>
      </c>
      <c r="G180" s="13" t="n">
        <v>-0.028975018620586</v>
      </c>
      <c r="H180" s="13" t="n">
        <v>0.115470947987782</v>
      </c>
      <c r="I180" s="13" t="n">
        <v>0.0672913850100614</v>
      </c>
      <c r="J180" s="13" t="n">
        <v>0.0495256395168923</v>
      </c>
      <c r="K180" s="13" t="n">
        <v>0.830416827759299</v>
      </c>
    </row>
    <row r="181" customFormat="false" ht="15" hidden="false" customHeight="false" outlineLevel="0" collapsed="false">
      <c r="A181" s="12" t="n">
        <v>1977</v>
      </c>
      <c r="B181" s="12" t="n">
        <v>12</v>
      </c>
      <c r="C181" s="13" t="n">
        <v>3.18841935483871</v>
      </c>
      <c r="D181" s="13" t="n">
        <v>2.02655683731767</v>
      </c>
      <c r="E181" s="13" t="n">
        <v>1.16186251752104</v>
      </c>
      <c r="F181" s="13" t="n">
        <v>0.039135807734621</v>
      </c>
      <c r="G181" s="13" t="n">
        <v>0.0143435727042438</v>
      </c>
      <c r="H181" s="13" t="n">
        <v>0.124612849843039</v>
      </c>
      <c r="I181" s="13" t="n">
        <v>0.079112685376243</v>
      </c>
      <c r="J181" s="13" t="n">
        <v>0.0655041383679887</v>
      </c>
      <c r="K181" s="13" t="n">
        <v>0.839153463494904</v>
      </c>
    </row>
    <row r="182" customFormat="false" ht="15" hidden="false" customHeight="false" outlineLevel="0" collapsed="false">
      <c r="A182" s="12" t="n">
        <v>1978</v>
      </c>
      <c r="B182" s="12" t="n">
        <v>1</v>
      </c>
      <c r="C182" s="13" t="n">
        <v>3.11064516129032</v>
      </c>
      <c r="D182" s="13" t="n">
        <v>1.98231069390163</v>
      </c>
      <c r="E182" s="13" t="n">
        <v>1.12833446738869</v>
      </c>
      <c r="F182" s="13" t="n">
        <v>-0.0744660416442895</v>
      </c>
      <c r="G182" s="13" t="n">
        <v>0.0608474062887308</v>
      </c>
      <c r="H182" s="13" t="n">
        <v>0.111600508062789</v>
      </c>
      <c r="I182" s="13" t="n">
        <v>0.0828550719390319</v>
      </c>
      <c r="J182" s="13" t="n">
        <v>0.0808519024543434</v>
      </c>
      <c r="K182" s="13" t="n">
        <v>0.866645620288085</v>
      </c>
    </row>
    <row r="183" customFormat="false" ht="15" hidden="false" customHeight="false" outlineLevel="0" collapsed="false">
      <c r="A183" s="12" t="n">
        <v>1978</v>
      </c>
      <c r="B183" s="12" t="n">
        <v>2</v>
      </c>
      <c r="C183" s="13" t="n">
        <v>3.53685714285714</v>
      </c>
      <c r="D183" s="13" t="n">
        <v>2.12164780794989</v>
      </c>
      <c r="E183" s="13" t="n">
        <v>1.41520933490726</v>
      </c>
      <c r="F183" s="13" t="n">
        <v>0.176972321834035</v>
      </c>
      <c r="G183" s="13" t="n">
        <v>0.0954730806014361</v>
      </c>
      <c r="H183" s="13" t="n">
        <v>0.0792840938246705</v>
      </c>
      <c r="I183" s="13" t="n">
        <v>0.0780384073244716</v>
      </c>
      <c r="J183" s="13" t="n">
        <v>0.0947218864374839</v>
      </c>
      <c r="K183" s="13" t="n">
        <v>0.89071954488516</v>
      </c>
    </row>
    <row r="184" customFormat="false" ht="15" hidden="false" customHeight="false" outlineLevel="0" collapsed="false">
      <c r="A184" s="12" t="n">
        <v>1978</v>
      </c>
      <c r="B184" s="12" t="n">
        <v>3</v>
      </c>
      <c r="C184" s="13" t="n">
        <v>3.38761290322581</v>
      </c>
      <c r="D184" s="13" t="n">
        <v>2.26029360409829</v>
      </c>
      <c r="E184" s="13" t="n">
        <v>1.12731929912752</v>
      </c>
      <c r="F184" s="13" t="n">
        <v>-0.0716126391409391</v>
      </c>
      <c r="G184" s="13" t="n">
        <v>0.0952033894388214</v>
      </c>
      <c r="H184" s="13" t="n">
        <v>0.0340143181690465</v>
      </c>
      <c r="I184" s="13" t="n">
        <v>0.065075635346489</v>
      </c>
      <c r="J184" s="13" t="n">
        <v>0.106346358693065</v>
      </c>
      <c r="K184" s="13" t="n">
        <v>0.898292236621035</v>
      </c>
    </row>
    <row r="185" customFormat="false" ht="15" hidden="false" customHeight="false" outlineLevel="0" collapsed="false">
      <c r="A185" s="12" t="n">
        <v>1978</v>
      </c>
      <c r="B185" s="12" t="n">
        <v>4</v>
      </c>
      <c r="C185" s="13" t="n">
        <v>3.34733333333333</v>
      </c>
      <c r="D185" s="13" t="n">
        <v>2.32285627189039</v>
      </c>
      <c r="E185" s="13" t="n">
        <v>1.02447706144295</v>
      </c>
      <c r="F185" s="13" t="n">
        <v>-0.0661126640768783</v>
      </c>
      <c r="G185" s="13" t="n">
        <v>0.0473750544137572</v>
      </c>
      <c r="H185" s="13" t="n">
        <v>-0.0156888050653168</v>
      </c>
      <c r="I185" s="13" t="n">
        <v>0.0452321955706496</v>
      </c>
      <c r="J185" s="13" t="n">
        <v>0.115069429524097</v>
      </c>
      <c r="K185" s="13" t="n">
        <v>0.898601851076637</v>
      </c>
    </row>
    <row r="186" customFormat="false" ht="15" hidden="false" customHeight="false" outlineLevel="0" collapsed="false">
      <c r="A186" s="12" t="n">
        <v>1978</v>
      </c>
      <c r="B186" s="12" t="n">
        <v>5</v>
      </c>
      <c r="C186" s="13" t="n">
        <v>3.10612903225806</v>
      </c>
      <c r="D186" s="13" t="n">
        <v>2.07015511704868</v>
      </c>
      <c r="E186" s="13" t="n">
        <v>1.03597391520938</v>
      </c>
      <c r="F186" s="13" t="n">
        <v>0.0805141993957297</v>
      </c>
      <c r="G186" s="13" t="n">
        <v>-0.0333730346404815</v>
      </c>
      <c r="H186" s="13" t="n">
        <v>-0.0608374862686298</v>
      </c>
      <c r="I186" s="13" t="n">
        <v>0.0204958579666235</v>
      </c>
      <c r="J186" s="13" t="n">
        <v>0.120368537491818</v>
      </c>
      <c r="K186" s="13" t="n">
        <v>0.908805841264321</v>
      </c>
    </row>
    <row r="187" customFormat="false" ht="15" hidden="false" customHeight="false" outlineLevel="0" collapsed="false">
      <c r="A187" s="12" t="n">
        <v>1978</v>
      </c>
      <c r="B187" s="12" t="n">
        <v>6</v>
      </c>
      <c r="C187" s="13" t="n">
        <v>2.3291</v>
      </c>
      <c r="D187" s="13" t="n">
        <v>1.48390740776011</v>
      </c>
      <c r="E187" s="13" t="n">
        <v>0.845192592239888</v>
      </c>
      <c r="F187" s="13" t="n">
        <v>-0.00261074115871453</v>
      </c>
      <c r="G187" s="13" t="n">
        <v>-0.107335817785275</v>
      </c>
      <c r="H187" s="13" t="n">
        <v>-0.0936909391294559</v>
      </c>
      <c r="I187" s="13" t="n">
        <v>-0.00662900835471732</v>
      </c>
      <c r="J187" s="13" t="n">
        <v>0.121865470863338</v>
      </c>
      <c r="K187" s="13" t="n">
        <v>0.933593627804712</v>
      </c>
    </row>
    <row r="188" customFormat="false" ht="15" hidden="false" customHeight="false" outlineLevel="0" collapsed="false">
      <c r="A188" s="12" t="n">
        <v>1978</v>
      </c>
      <c r="B188" s="12" t="n">
        <v>7</v>
      </c>
      <c r="C188" s="13" t="n">
        <v>1.85470967741936</v>
      </c>
      <c r="D188" s="13" t="n">
        <v>1.13991702631493</v>
      </c>
      <c r="E188" s="13" t="n">
        <v>0.714792651104425</v>
      </c>
      <c r="F188" s="13" t="n">
        <v>-0.090767237366812</v>
      </c>
      <c r="G188" s="13" t="n">
        <v>-0.132533135957276</v>
      </c>
      <c r="H188" s="13" t="n">
        <v>-0.109139847245972</v>
      </c>
      <c r="I188" s="13" t="n">
        <v>-0.0333808196159495</v>
      </c>
      <c r="J188" s="13" t="n">
        <v>0.119328737940437</v>
      </c>
      <c r="K188" s="13" t="n">
        <v>0.961284953349996</v>
      </c>
    </row>
    <row r="189" customFormat="false" ht="15" hidden="false" customHeight="false" outlineLevel="0" collapsed="false">
      <c r="A189" s="12" t="n">
        <v>1978</v>
      </c>
      <c r="B189" s="12" t="n">
        <v>8</v>
      </c>
      <c r="C189" s="13" t="n">
        <v>2.24</v>
      </c>
      <c r="D189" s="13" t="n">
        <v>1.32242535860522</v>
      </c>
      <c r="E189" s="13" t="n">
        <v>0.91757464139478</v>
      </c>
      <c r="F189" s="13" t="n">
        <v>0.0834095575434428</v>
      </c>
      <c r="G189" s="13" t="n">
        <v>-0.0919458568933905</v>
      </c>
      <c r="H189" s="13" t="n">
        <v>-0.105502449355414</v>
      </c>
      <c r="I189" s="13" t="n">
        <v>-0.0570263964177431</v>
      </c>
      <c r="J189" s="13" t="n">
        <v>0.112669771123657</v>
      </c>
      <c r="K189" s="13" t="n">
        <v>0.975970015394228</v>
      </c>
    </row>
    <row r="190" customFormat="false" ht="15" hidden="false" customHeight="false" outlineLevel="0" collapsed="false">
      <c r="A190" s="12" t="n">
        <v>1978</v>
      </c>
      <c r="B190" s="12" t="n">
        <v>9</v>
      </c>
      <c r="C190" s="13" t="n">
        <v>2.60453333333333</v>
      </c>
      <c r="D190" s="13" t="n">
        <v>1.72249227369614</v>
      </c>
      <c r="E190" s="13" t="n">
        <v>0.882041059637194</v>
      </c>
      <c r="F190" s="13" t="n">
        <v>-0.0268376951884561</v>
      </c>
      <c r="G190" s="13" t="n">
        <v>-0.00545401009193442</v>
      </c>
      <c r="H190" s="13" t="n">
        <v>-0.084609982998255</v>
      </c>
      <c r="I190" s="13" t="n">
        <v>-0.0751428452535638</v>
      </c>
      <c r="J190" s="13" t="n">
        <v>0.101935483926658</v>
      </c>
      <c r="K190" s="13" t="n">
        <v>0.972150109242746</v>
      </c>
    </row>
    <row r="191" customFormat="false" ht="15" hidden="false" customHeight="false" outlineLevel="0" collapsed="false">
      <c r="A191" s="12" t="n">
        <v>1978</v>
      </c>
      <c r="B191" s="12" t="n">
        <v>10</v>
      </c>
      <c r="C191" s="13" t="n">
        <v>3.06677419354839</v>
      </c>
      <c r="D191" s="13" t="n">
        <v>2.04388994929553</v>
      </c>
      <c r="E191" s="13" t="n">
        <v>1.02288424425286</v>
      </c>
      <c r="F191" s="13" t="n">
        <v>0.0314221347473082</v>
      </c>
      <c r="G191" s="13" t="n">
        <v>0.0815773532796694</v>
      </c>
      <c r="H191" s="13" t="n">
        <v>-0.0512132451989279</v>
      </c>
      <c r="I191" s="13" t="n">
        <v>-0.0858663655196919</v>
      </c>
      <c r="J191" s="13" t="n">
        <v>0.0872991871711557</v>
      </c>
      <c r="K191" s="13" t="n">
        <v>0.959665179773347</v>
      </c>
    </row>
    <row r="192" customFormat="false" ht="15" hidden="false" customHeight="false" outlineLevel="0" collapsed="false">
      <c r="A192" s="12" t="n">
        <v>1978</v>
      </c>
      <c r="B192" s="12" t="n">
        <v>11</v>
      </c>
      <c r="C192" s="13" t="n">
        <v>3.10326666666667</v>
      </c>
      <c r="D192" s="13" t="n">
        <v>2.08968520786459</v>
      </c>
      <c r="E192" s="13" t="n">
        <v>1.01358145880208</v>
      </c>
      <c r="F192" s="13" t="n">
        <v>-0.0346994863842055</v>
      </c>
      <c r="G192" s="13" t="n">
        <v>0.124825929754101</v>
      </c>
      <c r="H192" s="13" t="n">
        <v>-0.0118795027619469</v>
      </c>
      <c r="I192" s="13" t="n">
        <v>-0.0880823609505069</v>
      </c>
      <c r="J192" s="13" t="n">
        <v>0.0690510396599738</v>
      </c>
      <c r="K192" s="13" t="n">
        <v>0.954365839484662</v>
      </c>
    </row>
    <row r="193" customFormat="false" ht="15" hidden="false" customHeight="false" outlineLevel="0" collapsed="false">
      <c r="A193" s="12" t="n">
        <v>1978</v>
      </c>
      <c r="B193" s="12" t="n">
        <v>12</v>
      </c>
      <c r="C193" s="13" t="n">
        <v>2.92377419354839</v>
      </c>
      <c r="D193" s="13" t="n">
        <v>1.91091111361294</v>
      </c>
      <c r="E193" s="13" t="n">
        <v>1.01286307993545</v>
      </c>
      <c r="F193" s="13" t="n">
        <v>-0.04790029271337</v>
      </c>
      <c r="G193" s="13" t="n">
        <v>0.105614485926334</v>
      </c>
      <c r="H193" s="13" t="n">
        <v>0.0263593133268431</v>
      </c>
      <c r="I193" s="13" t="n">
        <v>-0.0815375967743575</v>
      </c>
      <c r="J193" s="13" t="n">
        <v>0.0475883492369026</v>
      </c>
      <c r="K193" s="13" t="n">
        <v>0.962738820933095</v>
      </c>
    </row>
    <row r="194" customFormat="false" ht="15" hidden="false" customHeight="false" outlineLevel="0" collapsed="false">
      <c r="A194" s="12" t="n">
        <v>1979</v>
      </c>
      <c r="B194" s="12" t="n">
        <v>1</v>
      </c>
      <c r="C194" s="13" t="n">
        <v>3.02767741935484</v>
      </c>
      <c r="D194" s="13" t="n">
        <v>1.86110495354459</v>
      </c>
      <c r="E194" s="13" t="n">
        <v>1.16657246581025</v>
      </c>
      <c r="F194" s="13" t="n">
        <v>0.136910840904516</v>
      </c>
      <c r="G194" s="13" t="n">
        <v>0.0394373240011818</v>
      </c>
      <c r="H194" s="13" t="n">
        <v>0.0573173706043334</v>
      </c>
      <c r="I194" s="13" t="n">
        <v>-0.0668634442590897</v>
      </c>
      <c r="J194" s="13" t="n">
        <v>0.023405373123853</v>
      </c>
      <c r="K194" s="13" t="n">
        <v>0.976365001435458</v>
      </c>
    </row>
    <row r="195" customFormat="false" ht="15" hidden="false" customHeight="false" outlineLevel="0" collapsed="false">
      <c r="A195" s="12" t="n">
        <v>1979</v>
      </c>
      <c r="B195" s="12" t="n">
        <v>2</v>
      </c>
      <c r="C195" s="13" t="n">
        <v>2.87107142857143</v>
      </c>
      <c r="D195" s="13" t="n">
        <v>1.99491398528201</v>
      </c>
      <c r="E195" s="13" t="n">
        <v>0.87615744328942</v>
      </c>
      <c r="F195" s="13" t="n">
        <v>-0.0986034333960638</v>
      </c>
      <c r="G195" s="13" t="n">
        <v>-0.0352481311581301</v>
      </c>
      <c r="H195" s="13" t="n">
        <v>0.0766705579066185</v>
      </c>
      <c r="I195" s="13" t="n">
        <v>-0.04550859087403</v>
      </c>
      <c r="J195" s="13" t="n">
        <v>-0.00291811133248218</v>
      </c>
      <c r="K195" s="13" t="n">
        <v>0.981765152143507</v>
      </c>
    </row>
    <row r="196" customFormat="false" ht="15" hidden="false" customHeight="false" outlineLevel="0" collapsed="false">
      <c r="A196" s="12" t="n">
        <v>1979</v>
      </c>
      <c r="B196" s="12" t="n">
        <v>3</v>
      </c>
      <c r="C196" s="13" t="n">
        <v>3.05061290322581</v>
      </c>
      <c r="D196" s="13" t="n">
        <v>2.1280772160818</v>
      </c>
      <c r="E196" s="13" t="n">
        <v>0.922535687144012</v>
      </c>
      <c r="F196" s="13" t="n">
        <v>-0.00315263854999647</v>
      </c>
      <c r="G196" s="13" t="n">
        <v>-0.080367672613407</v>
      </c>
      <c r="H196" s="13" t="n">
        <v>0.0825097078080123</v>
      </c>
      <c r="I196" s="13" t="n">
        <v>-0.0195889715602847</v>
      </c>
      <c r="J196" s="13" t="n">
        <v>-0.0307302789615545</v>
      </c>
      <c r="K196" s="13" t="n">
        <v>0.973865541021242</v>
      </c>
    </row>
    <row r="197" customFormat="false" ht="15" hidden="false" customHeight="false" outlineLevel="0" collapsed="false">
      <c r="A197" s="12" t="n">
        <v>1979</v>
      </c>
      <c r="B197" s="12" t="n">
        <v>4</v>
      </c>
      <c r="C197" s="13" t="n">
        <v>3.1448</v>
      </c>
      <c r="D197" s="13" t="n">
        <v>2.18521655538525</v>
      </c>
      <c r="E197" s="13" t="n">
        <v>0.95958344461475</v>
      </c>
      <c r="F197" s="13" t="n">
        <v>0.055310907353684</v>
      </c>
      <c r="G197" s="13" t="n">
        <v>-0.0795624883247609</v>
      </c>
      <c r="H197" s="13" t="n">
        <v>0.0753781184932021</v>
      </c>
      <c r="I197" s="13" t="n">
        <v>0.00832888698867467</v>
      </c>
      <c r="J197" s="13" t="n">
        <v>-0.0593234401084923</v>
      </c>
      <c r="K197" s="13" t="n">
        <v>0.959451460212443</v>
      </c>
    </row>
    <row r="198" customFormat="false" ht="15" hidden="false" customHeight="false" outlineLevel="0" collapsed="false">
      <c r="A198" s="12" t="n">
        <v>1979</v>
      </c>
      <c r="B198" s="12" t="n">
        <v>5</v>
      </c>
      <c r="C198" s="13" t="n">
        <v>2.77038709677419</v>
      </c>
      <c r="D198" s="13" t="n">
        <v>1.92716512554386</v>
      </c>
      <c r="E198" s="13" t="n">
        <v>0.843221971230335</v>
      </c>
      <c r="F198" s="13" t="n">
        <v>-0.0670351835029692</v>
      </c>
      <c r="G198" s="13" t="n">
        <v>-0.0447083075307496</v>
      </c>
      <c r="H198" s="13" t="n">
        <v>0.0578529096393982</v>
      </c>
      <c r="I198" s="13" t="n">
        <v>0.0354882855640389</v>
      </c>
      <c r="J198" s="13" t="n">
        <v>-0.0879533403425869</v>
      </c>
      <c r="K198" s="13" t="n">
        <v>0.949577607403203</v>
      </c>
    </row>
    <row r="199" customFormat="false" ht="15" hidden="false" customHeight="false" outlineLevel="0" collapsed="false">
      <c r="A199" s="12" t="n">
        <v>1979</v>
      </c>
      <c r="B199" s="12" t="n">
        <v>6</v>
      </c>
      <c r="C199" s="13" t="n">
        <v>2.27383333333333</v>
      </c>
      <c r="D199" s="13" t="n">
        <v>1.33565406702894</v>
      </c>
      <c r="E199" s="13" t="n">
        <v>0.938179266304395</v>
      </c>
      <c r="F199" s="13" t="n">
        <v>0.0156492716447562</v>
      </c>
      <c r="G199" s="13" t="n">
        <v>-0.00408717585845332</v>
      </c>
      <c r="H199" s="13" t="n">
        <v>0.0338161428052236</v>
      </c>
      <c r="I199" s="13" t="n">
        <v>0.0592195427142857</v>
      </c>
      <c r="J199" s="13" t="n">
        <v>-0.115861699056685</v>
      </c>
      <c r="K199" s="13" t="n">
        <v>0.949443184055268</v>
      </c>
    </row>
    <row r="200" customFormat="false" ht="15" hidden="false" customHeight="false" outlineLevel="0" collapsed="false">
      <c r="A200" s="12" t="n">
        <v>1979</v>
      </c>
      <c r="B200" s="12" t="n">
        <v>7</v>
      </c>
      <c r="C200" s="13" t="n">
        <v>1.93312903225807</v>
      </c>
      <c r="D200" s="13" t="n">
        <v>0.986501148608552</v>
      </c>
      <c r="E200" s="13" t="n">
        <v>0.946627883649512</v>
      </c>
      <c r="F200" s="13" t="n">
        <v>0.0303390459658948</v>
      </c>
      <c r="G200" s="13" t="n">
        <v>0.0189861463053796</v>
      </c>
      <c r="H200" s="13" t="n">
        <v>0.00760507113142197</v>
      </c>
      <c r="I200" s="13" t="n">
        <v>0.0772056439021351</v>
      </c>
      <c r="J200" s="13" t="n">
        <v>-0.142301824753351</v>
      </c>
      <c r="K200" s="13" t="n">
        <v>0.954793801098032</v>
      </c>
    </row>
    <row r="201" customFormat="false" ht="15" hidden="false" customHeight="false" outlineLevel="0" collapsed="false">
      <c r="A201" s="12" t="n">
        <v>1979</v>
      </c>
      <c r="B201" s="12" t="n">
        <v>8</v>
      </c>
      <c r="C201" s="13" t="n">
        <v>2.08274193548387</v>
      </c>
      <c r="D201" s="13" t="n">
        <v>1.16396161508001</v>
      </c>
      <c r="E201" s="13" t="n">
        <v>0.918780320403857</v>
      </c>
      <c r="F201" s="13" t="n">
        <v>0.0352535962080069</v>
      </c>
      <c r="G201" s="13" t="n">
        <v>0.0212959511910692</v>
      </c>
      <c r="H201" s="13" t="n">
        <v>-0.016773227663139</v>
      </c>
      <c r="I201" s="13" t="n">
        <v>0.0877096484213026</v>
      </c>
      <c r="J201" s="13" t="n">
        <v>-0.166566819189093</v>
      </c>
      <c r="K201" s="13" t="n">
        <v>0.957861171435711</v>
      </c>
    </row>
    <row r="202" customFormat="false" ht="15" hidden="false" customHeight="false" outlineLevel="0" collapsed="false">
      <c r="A202" s="12" t="n">
        <v>1979</v>
      </c>
      <c r="B202" s="12" t="n">
        <v>9</v>
      </c>
      <c r="C202" s="13" t="n">
        <v>2.313</v>
      </c>
      <c r="D202" s="13" t="n">
        <v>1.55910912495817</v>
      </c>
      <c r="E202" s="13" t="n">
        <v>0.753890875041832</v>
      </c>
      <c r="F202" s="13" t="n">
        <v>-0.0852349087699118</v>
      </c>
      <c r="G202" s="13" t="n">
        <v>0.0174270345636358</v>
      </c>
      <c r="H202" s="13" t="n">
        <v>-0.0362220114750127</v>
      </c>
      <c r="I202" s="13" t="n">
        <v>0.0897414692251209</v>
      </c>
      <c r="J202" s="13" t="n">
        <v>-0.188019481037059</v>
      </c>
      <c r="K202" s="13" t="n">
        <v>0.956198772535059</v>
      </c>
    </row>
    <row r="203" customFormat="false" ht="15" hidden="false" customHeight="false" outlineLevel="0" collapsed="false">
      <c r="A203" s="12" t="n">
        <v>1979</v>
      </c>
      <c r="B203" s="12" t="n">
        <v>10</v>
      </c>
      <c r="C203" s="13" t="n">
        <v>2.76506451612903</v>
      </c>
      <c r="D203" s="13" t="n">
        <v>1.87572953403639</v>
      </c>
      <c r="E203" s="13" t="n">
        <v>0.889334982092647</v>
      </c>
      <c r="F203" s="13" t="n">
        <v>0.0839369158750844</v>
      </c>
      <c r="G203" s="13" t="n">
        <v>0.0227926494226006</v>
      </c>
      <c r="H203" s="13" t="n">
        <v>-0.0488577836752645</v>
      </c>
      <c r="I203" s="13" t="n">
        <v>0.08314816115619</v>
      </c>
      <c r="J203" s="13" t="n">
        <v>-0.206122551713093</v>
      </c>
      <c r="K203" s="13" t="n">
        <v>0.95443759102713</v>
      </c>
    </row>
    <row r="204" customFormat="false" ht="15" hidden="false" customHeight="false" outlineLevel="0" collapsed="false">
      <c r="A204" s="12" t="n">
        <v>1979</v>
      </c>
      <c r="B204" s="12" t="n">
        <v>11</v>
      </c>
      <c r="C204" s="13" t="n">
        <v>2.5873</v>
      </c>
      <c r="D204" s="13" t="n">
        <v>1.91690318971599</v>
      </c>
      <c r="E204" s="13" t="n">
        <v>0.670396810284009</v>
      </c>
      <c r="F204" s="13" t="n">
        <v>-0.118539983697057</v>
      </c>
      <c r="G204" s="13" t="n">
        <v>0.0371576907285413</v>
      </c>
      <c r="H204" s="13" t="n">
        <v>-0.0540372607148538</v>
      </c>
      <c r="I204" s="13" t="n">
        <v>0.0686198598331628</v>
      </c>
      <c r="J204" s="13" t="n">
        <v>-0.220467486574077</v>
      </c>
      <c r="K204" s="13" t="n">
        <v>0.957663990708293</v>
      </c>
    </row>
    <row r="205" customFormat="false" ht="15" hidden="false" customHeight="false" outlineLevel="0" collapsed="false">
      <c r="A205" s="12" t="n">
        <v>1979</v>
      </c>
      <c r="B205" s="12" t="n">
        <v>12</v>
      </c>
      <c r="C205" s="13" t="n">
        <v>2.56029032258065</v>
      </c>
      <c r="D205" s="13" t="n">
        <v>1.73367648645622</v>
      </c>
      <c r="E205" s="13" t="n">
        <v>0.826613836124426</v>
      </c>
      <c r="F205" s="13" t="n">
        <v>0.0530250780057784</v>
      </c>
      <c r="G205" s="13" t="n">
        <v>0.0436097995789347</v>
      </c>
      <c r="H205" s="13" t="n">
        <v>-0.0521693969183082</v>
      </c>
      <c r="I205" s="13" t="n">
        <v>0.0476121530492506</v>
      </c>
      <c r="J205" s="13" t="n">
        <v>-0.230799599656951</v>
      </c>
      <c r="K205" s="13" t="n">
        <v>0.965335802065722</v>
      </c>
    </row>
    <row r="206" customFormat="false" ht="15" hidden="false" customHeight="false" outlineLevel="0" collapsed="false">
      <c r="A206" s="12" t="n">
        <v>1980</v>
      </c>
      <c r="B206" s="12" t="n">
        <v>1</v>
      </c>
      <c r="C206" s="13" t="n">
        <v>2.50464516129032</v>
      </c>
      <c r="D206" s="13" t="n">
        <v>1.67959980567226</v>
      </c>
      <c r="E206" s="13" t="n">
        <v>0.825045355618067</v>
      </c>
      <c r="F206" s="13" t="n">
        <v>0.0864106174511277</v>
      </c>
      <c r="G206" s="13" t="n">
        <v>0.024370278923356</v>
      </c>
      <c r="H206" s="13" t="n">
        <v>-0.0444071728233714</v>
      </c>
      <c r="I206" s="13" t="n">
        <v>0.0221940418800781</v>
      </c>
      <c r="J206" s="13" t="n">
        <v>-0.237037305536391</v>
      </c>
      <c r="K206" s="13" t="n">
        <v>0.973514895723267</v>
      </c>
    </row>
    <row r="207" customFormat="false" ht="15" hidden="false" customHeight="false" outlineLevel="0" collapsed="false">
      <c r="A207" s="12" t="n">
        <v>1980</v>
      </c>
      <c r="B207" s="12" t="n">
        <v>2</v>
      </c>
      <c r="C207" s="13" t="n">
        <v>2.43503448275862</v>
      </c>
      <c r="D207" s="13" t="n">
        <v>1.80933322290693</v>
      </c>
      <c r="E207" s="13" t="n">
        <v>0.625701259851688</v>
      </c>
      <c r="F207" s="13" t="n">
        <v>-0.0587352274529404</v>
      </c>
      <c r="G207" s="13" t="n">
        <v>-0.0204374407371892</v>
      </c>
      <c r="H207" s="13" t="n">
        <v>-0.0323175417078564</v>
      </c>
      <c r="I207" s="13" t="n">
        <v>-0.00516208654746824</v>
      </c>
      <c r="J207" s="13" t="n">
        <v>-0.239283283774565</v>
      </c>
      <c r="K207" s="13" t="n">
        <v>0.981636840071707</v>
      </c>
    </row>
    <row r="208" customFormat="false" ht="15" hidden="false" customHeight="false" outlineLevel="0" collapsed="false">
      <c r="A208" s="12" t="n">
        <v>1980</v>
      </c>
      <c r="B208" s="12" t="n">
        <v>3</v>
      </c>
      <c r="C208" s="13" t="n">
        <v>2.53790322580645</v>
      </c>
      <c r="D208" s="13" t="n">
        <v>1.93862824684399</v>
      </c>
      <c r="E208" s="13" t="n">
        <v>0.599274978962462</v>
      </c>
      <c r="F208" s="13" t="n">
        <v>-0.038764878174912</v>
      </c>
      <c r="G208" s="13" t="n">
        <v>-0.0680618204886926</v>
      </c>
      <c r="H208" s="13" t="n">
        <v>-0.017605861882305</v>
      </c>
      <c r="I208" s="13" t="n">
        <v>-0.0318266081237938</v>
      </c>
      <c r="J208" s="13" t="n">
        <v>-0.237825692732</v>
      </c>
      <c r="K208" s="13" t="n">
        <v>0.993359840364165</v>
      </c>
    </row>
    <row r="209" customFormat="false" ht="15" hidden="false" customHeight="false" outlineLevel="0" collapsed="false">
      <c r="A209" s="12" t="n">
        <v>1980</v>
      </c>
      <c r="B209" s="12" t="n">
        <v>4</v>
      </c>
      <c r="C209" s="13" t="n">
        <v>2.66703333333333</v>
      </c>
      <c r="D209" s="13" t="n">
        <v>1.99211893260687</v>
      </c>
      <c r="E209" s="13" t="n">
        <v>0.674914400726466</v>
      </c>
      <c r="F209" s="13" t="n">
        <v>0.0426529067595679</v>
      </c>
      <c r="G209" s="13" t="n">
        <v>-0.0874525981626497</v>
      </c>
      <c r="H209" s="13" t="n">
        <v>-0.00193373771911647</v>
      </c>
      <c r="I209" s="13" t="n">
        <v>-0.0552699457392075</v>
      </c>
      <c r="J209" s="13" t="n">
        <v>-0.233128053541469</v>
      </c>
      <c r="K209" s="13" t="n">
        <v>1.01004582912934</v>
      </c>
    </row>
    <row r="210" customFormat="false" ht="15" hidden="false" customHeight="false" outlineLevel="0" collapsed="false">
      <c r="A210" s="12" t="n">
        <v>1980</v>
      </c>
      <c r="B210" s="12" t="n">
        <v>5</v>
      </c>
      <c r="C210" s="13" t="n">
        <v>2.38403225806452</v>
      </c>
      <c r="D210" s="13" t="n">
        <v>1.73065015413258</v>
      </c>
      <c r="E210" s="13" t="n">
        <v>0.653382103931937</v>
      </c>
      <c r="F210" s="13" t="n">
        <v>-0.0258863607504023</v>
      </c>
      <c r="G210" s="13" t="n">
        <v>-0.0615199924541551</v>
      </c>
      <c r="H210" s="13" t="n">
        <v>0.0131705235857196</v>
      </c>
      <c r="I210" s="13" t="n">
        <v>-0.0733054577643341</v>
      </c>
      <c r="J210" s="13" t="n">
        <v>-0.225807152260605</v>
      </c>
      <c r="K210" s="13" t="n">
        <v>1.02673054357571</v>
      </c>
    </row>
    <row r="211" customFormat="false" ht="15" hidden="false" customHeight="false" outlineLevel="0" collapsed="false">
      <c r="A211" s="12" t="n">
        <v>1980</v>
      </c>
      <c r="B211" s="12" t="n">
        <v>6</v>
      </c>
      <c r="C211" s="13" t="n">
        <v>1.89736666666667</v>
      </c>
      <c r="D211" s="13" t="n">
        <v>1.13596437203551</v>
      </c>
      <c r="E211" s="13" t="n">
        <v>0.761402294631157</v>
      </c>
      <c r="F211" s="13" t="n">
        <v>-0.000281623777231813</v>
      </c>
      <c r="G211" s="13" t="n">
        <v>-0.000123027132689204</v>
      </c>
      <c r="H211" s="13" t="n">
        <v>0.0263399075683118</v>
      </c>
      <c r="I211" s="13" t="n">
        <v>-0.084294417680505</v>
      </c>
      <c r="J211" s="13" t="n">
        <v>-0.216599283954107</v>
      </c>
      <c r="K211" s="13" t="n">
        <v>1.03636073960738</v>
      </c>
    </row>
    <row r="212" customFormat="false" ht="15" hidden="false" customHeight="false" outlineLevel="0" collapsed="false">
      <c r="A212" s="12" t="n">
        <v>1980</v>
      </c>
      <c r="B212" s="12" t="n">
        <v>7</v>
      </c>
      <c r="C212" s="13" t="n">
        <v>1.66561290322581</v>
      </c>
      <c r="D212" s="13" t="n">
        <v>0.783890207551389</v>
      </c>
      <c r="E212" s="13" t="n">
        <v>0.881722695674418</v>
      </c>
      <c r="F212" s="13" t="n">
        <v>0.0369658518210447</v>
      </c>
      <c r="G212" s="13" t="n">
        <v>0.0652575471572866</v>
      </c>
      <c r="H212" s="13" t="n">
        <v>0.0363796589725348</v>
      </c>
      <c r="I212" s="13" t="n">
        <v>-0.0872938739481621</v>
      </c>
      <c r="J212" s="13" t="n">
        <v>-0.206316286718042</v>
      </c>
      <c r="K212" s="13" t="n">
        <v>1.03672979838976</v>
      </c>
    </row>
    <row r="213" customFormat="false" ht="15" hidden="false" customHeight="false" outlineLevel="0" collapsed="false">
      <c r="A213" s="12" t="n">
        <v>1980</v>
      </c>
      <c r="B213" s="12" t="n">
        <v>8</v>
      </c>
      <c r="C213" s="13" t="n">
        <v>1.81316129032258</v>
      </c>
      <c r="D213" s="13" t="n">
        <v>0.95869325531035</v>
      </c>
      <c r="E213" s="13" t="n">
        <v>0.854468035012231</v>
      </c>
      <c r="F213" s="13" t="n">
        <v>-0.0427407417248158</v>
      </c>
      <c r="G213" s="13" t="n">
        <v>0.100237833700724</v>
      </c>
      <c r="H213" s="13" t="n">
        <v>0.042300837683329</v>
      </c>
      <c r="I213" s="13" t="n">
        <v>-0.0821342697399508</v>
      </c>
      <c r="J213" s="13" t="n">
        <v>-0.195793890809337</v>
      </c>
      <c r="K213" s="13" t="n">
        <v>1.03259826590228</v>
      </c>
    </row>
    <row r="214" customFormat="false" ht="15" hidden="false" customHeight="false" outlineLevel="0" collapsed="false">
      <c r="A214" s="12" t="n">
        <v>1980</v>
      </c>
      <c r="B214" s="12" t="n">
        <v>9</v>
      </c>
      <c r="C214" s="13" t="n">
        <v>2.3043</v>
      </c>
      <c r="D214" s="13" t="n">
        <v>1.35145698738917</v>
      </c>
      <c r="E214" s="13" t="n">
        <v>0.952843012610828</v>
      </c>
      <c r="F214" s="13" t="n">
        <v>0.0465525860361626</v>
      </c>
      <c r="G214" s="13" t="n">
        <v>0.0866222641364944</v>
      </c>
      <c r="H214" s="13" t="n">
        <v>0.0433968257256736</v>
      </c>
      <c r="I214" s="13" t="n">
        <v>-0.0694209197757002</v>
      </c>
      <c r="J214" s="13" t="n">
        <v>-0.185835740917966</v>
      </c>
      <c r="K214" s="13" t="n">
        <v>1.03152799740616</v>
      </c>
    </row>
    <row r="215" customFormat="false" ht="15" hidden="false" customHeight="false" outlineLevel="0" collapsed="false">
      <c r="A215" s="12" t="n">
        <v>1980</v>
      </c>
      <c r="B215" s="12" t="n">
        <v>10</v>
      </c>
      <c r="C215" s="13" t="n">
        <v>2.52358064516129</v>
      </c>
      <c r="D215" s="13" t="n">
        <v>1.66597650470636</v>
      </c>
      <c r="E215" s="13" t="n">
        <v>0.857604140454933</v>
      </c>
      <c r="F215" s="13" t="n">
        <v>-0.0221339765209113</v>
      </c>
      <c r="G215" s="13" t="n">
        <v>0.0311123639850591</v>
      </c>
      <c r="H215" s="13" t="n">
        <v>0.0393572378465518</v>
      </c>
      <c r="I215" s="13" t="n">
        <v>-0.0504610342116725</v>
      </c>
      <c r="J215" s="13" t="n">
        <v>-0.177156909054618</v>
      </c>
      <c r="K215" s="13" t="n">
        <v>1.03688645841052</v>
      </c>
    </row>
    <row r="216" customFormat="false" ht="15" hidden="false" customHeight="false" outlineLevel="0" collapsed="false">
      <c r="A216" s="12" t="n">
        <v>1980</v>
      </c>
      <c r="B216" s="12" t="n">
        <v>11</v>
      </c>
      <c r="C216" s="13" t="n">
        <v>2.48763333333333</v>
      </c>
      <c r="D216" s="13" t="n">
        <v>1.70534080075953</v>
      </c>
      <c r="E216" s="13" t="n">
        <v>0.782292532573802</v>
      </c>
      <c r="F216" s="13" t="n">
        <v>-0.0552392379947732</v>
      </c>
      <c r="G216" s="13" t="n">
        <v>-0.0390915981743885</v>
      </c>
      <c r="H216" s="13" t="n">
        <v>0.0303899621127999</v>
      </c>
      <c r="I216" s="13" t="n">
        <v>-0.027125183653549</v>
      </c>
      <c r="J216" s="13" t="n">
        <v>-0.170330771829779</v>
      </c>
      <c r="K216" s="13" t="n">
        <v>1.04368936211349</v>
      </c>
    </row>
    <row r="217" customFormat="false" ht="15" hidden="false" customHeight="false" outlineLevel="0" collapsed="false">
      <c r="A217" s="12" t="n">
        <v>1980</v>
      </c>
      <c r="B217" s="12" t="n">
        <v>12</v>
      </c>
      <c r="C217" s="13" t="n">
        <v>2.38064516129032</v>
      </c>
      <c r="D217" s="13" t="n">
        <v>1.52060428813258</v>
      </c>
      <c r="E217" s="13" t="n">
        <v>0.860040873157744</v>
      </c>
      <c r="F217" s="13" t="n">
        <v>0.0574057204353709</v>
      </c>
      <c r="G217" s="13" t="n">
        <v>-0.0898623894606048</v>
      </c>
      <c r="H217" s="13" t="n">
        <v>0.0173079329911616</v>
      </c>
      <c r="I217" s="13" t="n">
        <v>-0.00165821660314352</v>
      </c>
      <c r="J217" s="13" t="n">
        <v>-0.165742849324853</v>
      </c>
      <c r="K217" s="13" t="n">
        <v>1.04259067511981</v>
      </c>
    </row>
    <row r="218" customFormat="false" ht="15" hidden="false" customHeight="false" outlineLevel="0" collapsed="false">
      <c r="A218" s="12" t="n">
        <v>1981</v>
      </c>
      <c r="B218" s="12" t="n">
        <v>1</v>
      </c>
      <c r="C218" s="13" t="n">
        <v>2.34490322580645</v>
      </c>
      <c r="D218" s="13" t="n">
        <v>1.46532471120471</v>
      </c>
      <c r="E218" s="13" t="n">
        <v>0.879578514601738</v>
      </c>
      <c r="F218" s="13" t="n">
        <v>0.0842546967623661</v>
      </c>
      <c r="G218" s="13" t="n">
        <v>-0.0964826798612787</v>
      </c>
      <c r="H218" s="13" t="n">
        <v>0.00153688519958356</v>
      </c>
      <c r="I218" s="13" t="n">
        <v>0.0235408945276778</v>
      </c>
      <c r="J218" s="13" t="n">
        <v>-0.163554721049288</v>
      </c>
      <c r="K218" s="13" t="n">
        <v>1.03028343902268</v>
      </c>
    </row>
    <row r="219" customFormat="false" ht="15" hidden="false" customHeight="false" outlineLevel="0" collapsed="false">
      <c r="A219" s="12" t="n">
        <v>1981</v>
      </c>
      <c r="B219" s="12" t="n">
        <v>2</v>
      </c>
      <c r="C219" s="13" t="n">
        <v>2.26721428571429</v>
      </c>
      <c r="D219" s="13" t="n">
        <v>1.59416882798472</v>
      </c>
      <c r="E219" s="13" t="n">
        <v>0.67304545772957</v>
      </c>
      <c r="F219" s="13" t="n">
        <v>-0.152680385208556</v>
      </c>
      <c r="G219" s="13" t="n">
        <v>-0.0561325675526079</v>
      </c>
      <c r="H219" s="13" t="n">
        <v>-0.014986089169266</v>
      </c>
      <c r="I219" s="13" t="n">
        <v>0.0461483720027033</v>
      </c>
      <c r="J219" s="13" t="n">
        <v>-0.163680558750367</v>
      </c>
      <c r="K219" s="13" t="n">
        <v>1.01437668640766</v>
      </c>
    </row>
    <row r="220" customFormat="false" ht="15" hidden="false" customHeight="false" outlineLevel="0" collapsed="false">
      <c r="A220" s="12" t="n">
        <v>1981</v>
      </c>
      <c r="B220" s="12" t="n">
        <v>3</v>
      </c>
      <c r="C220" s="13" t="n">
        <v>2.62996774193548</v>
      </c>
      <c r="D220" s="13" t="n">
        <v>1.7228941256982</v>
      </c>
      <c r="E220" s="13" t="n">
        <v>0.907073616237283</v>
      </c>
      <c r="F220" s="13" t="n">
        <v>0.0245494642351774</v>
      </c>
      <c r="G220" s="13" t="n">
        <v>0.00964574823438649</v>
      </c>
      <c r="H220" s="13" t="n">
        <v>-0.0300293803585446</v>
      </c>
      <c r="I220" s="13" t="n">
        <v>0.0641319798735732</v>
      </c>
      <c r="J220" s="13" t="n">
        <v>-0.165778192064524</v>
      </c>
      <c r="K220" s="13" t="n">
        <v>1.00455399631721</v>
      </c>
    </row>
    <row r="221" customFormat="false" ht="15" hidden="false" customHeight="false" outlineLevel="0" collapsed="false">
      <c r="A221" s="12" t="n">
        <v>1981</v>
      </c>
      <c r="B221" s="12" t="n">
        <v>4</v>
      </c>
      <c r="C221" s="13" t="n">
        <v>2.7446</v>
      </c>
      <c r="D221" s="13" t="n">
        <v>1.77613991266818</v>
      </c>
      <c r="E221" s="13" t="n">
        <v>0.968460087331816</v>
      </c>
      <c r="F221" s="13" t="n">
        <v>0.0365051148858919</v>
      </c>
      <c r="G221" s="13" t="n">
        <v>0.0657380539681977</v>
      </c>
      <c r="H221" s="13" t="n">
        <v>-0.0413769790282402</v>
      </c>
      <c r="I221" s="13" t="n">
        <v>0.0759341808076004</v>
      </c>
      <c r="J221" s="13" t="n">
        <v>-0.16925595394398</v>
      </c>
      <c r="K221" s="13" t="n">
        <v>1.00091567064235</v>
      </c>
    </row>
    <row r="222" customFormat="false" ht="15" hidden="false" customHeight="false" outlineLevel="0" collapsed="false">
      <c r="A222" s="12" t="n">
        <v>1981</v>
      </c>
      <c r="B222" s="12" t="n">
        <v>5</v>
      </c>
      <c r="C222" s="13" t="n">
        <v>2.46506451612903</v>
      </c>
      <c r="D222" s="13" t="n">
        <v>1.51475557133723</v>
      </c>
      <c r="E222" s="13" t="n">
        <v>0.950308944791802</v>
      </c>
      <c r="F222" s="13" t="n">
        <v>0.0106118876236576</v>
      </c>
      <c r="G222" s="13" t="n">
        <v>0.0834461077330902</v>
      </c>
      <c r="H222" s="13" t="n">
        <v>-0.0471840922530926</v>
      </c>
      <c r="I222" s="13" t="n">
        <v>0.0806056848236173</v>
      </c>
      <c r="J222" s="13" t="n">
        <v>-0.173295826328858</v>
      </c>
      <c r="K222" s="13" t="n">
        <v>0.996125183193387</v>
      </c>
    </row>
    <row r="223" customFormat="false" ht="15" hidden="false" customHeight="false" outlineLevel="0" collapsed="false">
      <c r="A223" s="12" t="n">
        <v>1981</v>
      </c>
      <c r="B223" s="12" t="n">
        <v>6</v>
      </c>
      <c r="C223" s="13" t="n">
        <v>1.88963333333333</v>
      </c>
      <c r="D223" s="13" t="n">
        <v>0.920487308902938</v>
      </c>
      <c r="E223" s="13" t="n">
        <v>0.969146024430395</v>
      </c>
      <c r="F223" s="13" t="n">
        <v>0.0689892751179809</v>
      </c>
      <c r="G223" s="13" t="n">
        <v>0.0577464724450203</v>
      </c>
      <c r="H223" s="13" t="n">
        <v>-0.0463137489786069</v>
      </c>
      <c r="I223" s="13" t="n">
        <v>0.0778782207640823</v>
      </c>
      <c r="J223" s="13" t="n">
        <v>-0.176892573890361</v>
      </c>
      <c r="K223" s="13" t="n">
        <v>0.98773837897228</v>
      </c>
    </row>
    <row r="224" customFormat="false" ht="15" hidden="false" customHeight="false" outlineLevel="0" collapsed="false">
      <c r="A224" s="12" t="n">
        <v>1981</v>
      </c>
      <c r="B224" s="12" t="n">
        <v>7</v>
      </c>
      <c r="C224" s="13" t="n">
        <v>1.2918064516129</v>
      </c>
      <c r="D224" s="13" t="n">
        <v>0.569166716247263</v>
      </c>
      <c r="E224" s="13" t="n">
        <v>0.722639735365641</v>
      </c>
      <c r="F224" s="13" t="n">
        <v>-0.11903640486064</v>
      </c>
      <c r="G224" s="13" t="n">
        <v>0.00939353536595084</v>
      </c>
      <c r="H224" s="13" t="n">
        <v>-0.0385863206250073</v>
      </c>
      <c r="I224" s="13" t="n">
        <v>0.0681714980912051</v>
      </c>
      <c r="J224" s="13" t="n">
        <v>-0.178907553221129</v>
      </c>
      <c r="K224" s="13" t="n">
        <v>0.981604980615261</v>
      </c>
    </row>
    <row r="225" customFormat="false" ht="15" hidden="false" customHeight="false" outlineLevel="0" collapsed="false">
      <c r="A225" s="12" t="n">
        <v>1981</v>
      </c>
      <c r="B225" s="12" t="n">
        <v>8</v>
      </c>
      <c r="C225" s="13" t="n">
        <v>1.5401935483871</v>
      </c>
      <c r="D225" s="13" t="n">
        <v>0.7450615678998</v>
      </c>
      <c r="E225" s="13" t="n">
        <v>0.795131980487297</v>
      </c>
      <c r="F225" s="13" t="n">
        <v>-0.00519538487092654</v>
      </c>
      <c r="G225" s="13" t="n">
        <v>-0.0304904761124525</v>
      </c>
      <c r="H225" s="13" t="n">
        <v>-0.0248848772351761</v>
      </c>
      <c r="I225" s="13" t="n">
        <v>0.0525357282825397</v>
      </c>
      <c r="J225" s="13" t="n">
        <v>-0.178134752629048</v>
      </c>
      <c r="K225" s="13" t="n">
        <v>0.981301743052361</v>
      </c>
    </row>
    <row r="226" customFormat="false" ht="15" hidden="false" customHeight="false" outlineLevel="0" collapsed="false">
      <c r="A226" s="12" t="n">
        <v>1981</v>
      </c>
      <c r="B226" s="12" t="n">
        <v>9</v>
      </c>
      <c r="C226" s="13" t="n">
        <v>1.97103333333333</v>
      </c>
      <c r="D226" s="13" t="n">
        <v>1.13925671559079</v>
      </c>
      <c r="E226" s="13" t="n">
        <v>0.831776617742542</v>
      </c>
      <c r="F226" s="13" t="n">
        <v>0.0414186726237366</v>
      </c>
      <c r="G226" s="13" t="n">
        <v>-0.0422152784469197</v>
      </c>
      <c r="H226" s="13" t="n">
        <v>-0.00708320170740827</v>
      </c>
      <c r="I226" s="13" t="n">
        <v>0.0325371181303556</v>
      </c>
      <c r="J226" s="13" t="n">
        <v>-0.173375534218404</v>
      </c>
      <c r="K226" s="13" t="n">
        <v>0.980494841361182</v>
      </c>
    </row>
    <row r="227" customFormat="false" ht="15" hidden="false" customHeight="false" outlineLevel="0" collapsed="false">
      <c r="A227" s="12" t="n">
        <v>1981</v>
      </c>
      <c r="B227" s="12" t="n">
        <v>10</v>
      </c>
      <c r="C227" s="13" t="n">
        <v>2.32145161290323</v>
      </c>
      <c r="D227" s="13" t="n">
        <v>1.45554783145786</v>
      </c>
      <c r="E227" s="13" t="n">
        <v>0.865903781445365</v>
      </c>
      <c r="F227" s="13" t="n">
        <v>0.0656277385089122</v>
      </c>
      <c r="G227" s="13" t="n">
        <v>-0.0293883854501952</v>
      </c>
      <c r="H227" s="13" t="n">
        <v>0.0122043185305964</v>
      </c>
      <c r="I227" s="13" t="n">
        <v>0.0100988682191273</v>
      </c>
      <c r="J227" s="13" t="n">
        <v>-0.163517731167641</v>
      </c>
      <c r="K227" s="13" t="n">
        <v>0.970878972804565</v>
      </c>
    </row>
    <row r="228" customFormat="false" ht="15" hidden="false" customHeight="false" outlineLevel="0" collapsed="false">
      <c r="A228" s="12" t="n">
        <v>1981</v>
      </c>
      <c r="B228" s="12" t="n">
        <v>11</v>
      </c>
      <c r="C228" s="13" t="n">
        <v>2.1925</v>
      </c>
      <c r="D228" s="13" t="n">
        <v>1.49702366592794</v>
      </c>
      <c r="E228" s="13" t="n">
        <v>0.695476334072058</v>
      </c>
      <c r="F228" s="13" t="n">
        <v>-0.116262438583991</v>
      </c>
      <c r="G228" s="13" t="n">
        <v>-0.0123985830780739</v>
      </c>
      <c r="H228" s="13" t="n">
        <v>0.0300171792953039</v>
      </c>
      <c r="I228" s="13" t="n">
        <v>-0.0126860425500314</v>
      </c>
      <c r="J228" s="13" t="n">
        <v>-0.147614303484994</v>
      </c>
      <c r="K228" s="13" t="n">
        <v>0.954420522473845</v>
      </c>
    </row>
    <row r="229" customFormat="false" ht="15" hidden="false" customHeight="false" outlineLevel="0" collapsed="false">
      <c r="A229" s="12" t="n">
        <v>1981</v>
      </c>
      <c r="B229" s="12" t="n">
        <v>12</v>
      </c>
      <c r="C229" s="13" t="n">
        <v>2.20138709677419</v>
      </c>
      <c r="D229" s="13" t="n">
        <v>1.31473757076288</v>
      </c>
      <c r="E229" s="13" t="n">
        <v>0.886649526011315</v>
      </c>
      <c r="F229" s="13" t="n">
        <v>0.0689922290571135</v>
      </c>
      <c r="G229" s="13" t="n">
        <v>-0.00943552825562298</v>
      </c>
      <c r="H229" s="13" t="n">
        <v>0.043524288107013</v>
      </c>
      <c r="I229" s="13" t="n">
        <v>-0.0337519321761065</v>
      </c>
      <c r="J229" s="13" t="n">
        <v>-0.124956648113511</v>
      </c>
      <c r="K229" s="13" t="n">
        <v>0.942277117392429</v>
      </c>
    </row>
    <row r="230" customFormat="false" ht="15" hidden="false" customHeight="false" outlineLevel="0" collapsed="false">
      <c r="A230" s="12" t="n">
        <v>1982</v>
      </c>
      <c r="B230" s="12" t="n">
        <v>1</v>
      </c>
      <c r="C230" s="13" t="n">
        <v>2.08903225806452</v>
      </c>
      <c r="D230" s="13" t="n">
        <v>1.26224541067155</v>
      </c>
      <c r="E230" s="13" t="n">
        <v>0.826786847392971</v>
      </c>
      <c r="F230" s="13" t="n">
        <v>0.000848662351475163</v>
      </c>
      <c r="G230" s="13" t="n">
        <v>-0.0203536265818687</v>
      </c>
      <c r="H230" s="13" t="n">
        <v>0.0504987675321614</v>
      </c>
      <c r="I230" s="13" t="n">
        <v>-0.0512487258738979</v>
      </c>
      <c r="J230" s="13" t="n">
        <v>-0.0951378418623507</v>
      </c>
      <c r="K230" s="13" t="n">
        <v>0.942179611827451</v>
      </c>
    </row>
    <row r="231" customFormat="false" ht="15" hidden="false" customHeight="false" outlineLevel="0" collapsed="false">
      <c r="A231" s="12" t="n">
        <v>1982</v>
      </c>
      <c r="B231" s="12" t="n">
        <v>2</v>
      </c>
      <c r="C231" s="13" t="n">
        <v>2.24246428571429</v>
      </c>
      <c r="D231" s="13" t="n">
        <v>1.39421124644455</v>
      </c>
      <c r="E231" s="13" t="n">
        <v>0.848253039269735</v>
      </c>
      <c r="F231" s="13" t="n">
        <v>-0.00319163323111174</v>
      </c>
      <c r="G231" s="13" t="n">
        <v>-0.0263658481330008</v>
      </c>
      <c r="H231" s="13" t="n">
        <v>0.0497070787107063</v>
      </c>
      <c r="I231" s="13" t="n">
        <v>-0.0637043616109294</v>
      </c>
      <c r="J231" s="13" t="n">
        <v>-0.058101557446228</v>
      </c>
      <c r="K231" s="13" t="n">
        <v>0.949909360980298</v>
      </c>
    </row>
    <row r="232" customFormat="false" ht="15" hidden="false" customHeight="false" outlineLevel="0" collapsed="false">
      <c r="A232" s="12" t="n">
        <v>1982</v>
      </c>
      <c r="B232" s="12" t="n">
        <v>3</v>
      </c>
      <c r="C232" s="13" t="n">
        <v>2.37783870967742</v>
      </c>
      <c r="D232" s="13" t="n">
        <v>1.52638905422998</v>
      </c>
      <c r="E232" s="13" t="n">
        <v>0.851449655447443</v>
      </c>
      <c r="F232" s="13" t="n">
        <v>-0.0515848411730841</v>
      </c>
      <c r="G232" s="13" t="n">
        <v>-0.00658372167856561</v>
      </c>
      <c r="H232" s="13" t="n">
        <v>0.0411405786421868</v>
      </c>
      <c r="I232" s="13" t="n">
        <v>-0.0701471796349694</v>
      </c>
      <c r="J232" s="13" t="n">
        <v>-0.0141731231816182</v>
      </c>
      <c r="K232" s="13" t="n">
        <v>0.952797942473493</v>
      </c>
    </row>
    <row r="233" customFormat="false" ht="15" hidden="false" customHeight="false" outlineLevel="0" collapsed="false">
      <c r="A233" s="12" t="n">
        <v>1982</v>
      </c>
      <c r="B233" s="12" t="n">
        <v>4</v>
      </c>
      <c r="C233" s="13" t="n">
        <v>2.6143</v>
      </c>
      <c r="D233" s="13" t="n">
        <v>1.58341382348963</v>
      </c>
      <c r="E233" s="13" t="n">
        <v>1.03088617651037</v>
      </c>
      <c r="F233" s="13" t="n">
        <v>0.0573024401320598</v>
      </c>
      <c r="G233" s="13" t="n">
        <v>0.0407604183419507</v>
      </c>
      <c r="H233" s="13" t="n">
        <v>0.0260446746884074</v>
      </c>
      <c r="I233" s="13" t="n">
        <v>-0.0701784100778361</v>
      </c>
      <c r="J233" s="13" t="n">
        <v>0.0359298477561274</v>
      </c>
      <c r="K233" s="13" t="n">
        <v>0.94102720566966</v>
      </c>
    </row>
    <row r="234" customFormat="false" ht="15" hidden="false" customHeight="false" outlineLevel="0" collapsed="false">
      <c r="A234" s="12" t="n">
        <v>1982</v>
      </c>
      <c r="B234" s="12" t="n">
        <v>5</v>
      </c>
      <c r="C234" s="13" t="n">
        <v>2.32587096774194</v>
      </c>
      <c r="D234" s="13" t="n">
        <v>1.32612981845511</v>
      </c>
      <c r="E234" s="13" t="n">
        <v>0.999741149286825</v>
      </c>
      <c r="F234" s="13" t="n">
        <v>-0.0415089742934659</v>
      </c>
      <c r="G234" s="13" t="n">
        <v>0.0896465571007968</v>
      </c>
      <c r="H234" s="13" t="n">
        <v>0.00673663638035969</v>
      </c>
      <c r="I234" s="13" t="n">
        <v>-0.0639898507801221</v>
      </c>
      <c r="J234" s="13" t="n">
        <v>0.0911087071561763</v>
      </c>
      <c r="K234" s="13" t="n">
        <v>0.91774807372308</v>
      </c>
    </row>
    <row r="235" customFormat="false" ht="15" hidden="false" customHeight="false" outlineLevel="0" collapsed="false">
      <c r="A235" s="12" t="n">
        <v>1982</v>
      </c>
      <c r="B235" s="12" t="n">
        <v>6</v>
      </c>
      <c r="C235" s="13" t="n">
        <v>1.8905</v>
      </c>
      <c r="D235" s="13" t="n">
        <v>0.736277339550851</v>
      </c>
      <c r="E235" s="13" t="n">
        <v>1.15422266044915</v>
      </c>
      <c r="F235" s="13" t="n">
        <v>0.072053610237658</v>
      </c>
      <c r="G235" s="13" t="n">
        <v>0.0999189929399815</v>
      </c>
      <c r="H235" s="13" t="n">
        <v>-0.0137590687620086</v>
      </c>
      <c r="I235" s="13" t="n">
        <v>-0.0523270638961943</v>
      </c>
      <c r="J235" s="13" t="n">
        <v>0.149917123665793</v>
      </c>
      <c r="K235" s="13" t="n">
        <v>0.89841906626392</v>
      </c>
    </row>
    <row r="236" customFormat="false" ht="15" hidden="false" customHeight="false" outlineLevel="0" collapsed="false">
      <c r="A236" s="12" t="n">
        <v>1982</v>
      </c>
      <c r="B236" s="12" t="n">
        <v>7</v>
      </c>
      <c r="C236" s="13" t="n">
        <v>1.40209677419355</v>
      </c>
      <c r="D236" s="13" t="n">
        <v>0.38968129541942</v>
      </c>
      <c r="E236" s="13" t="n">
        <v>1.01241547877413</v>
      </c>
      <c r="F236" s="13" t="n">
        <v>-0.0727322356891908</v>
      </c>
      <c r="G236" s="13" t="n">
        <v>0.0468661207869716</v>
      </c>
      <c r="H236" s="13" t="n">
        <v>-0.0321966173167491</v>
      </c>
      <c r="I236" s="13" t="n">
        <v>-0.0364034183321256</v>
      </c>
      <c r="J236" s="13" t="n">
        <v>0.210615533515086</v>
      </c>
      <c r="K236" s="13" t="n">
        <v>0.896266095810136</v>
      </c>
    </row>
    <row r="237" customFormat="false" ht="15" hidden="false" customHeight="false" outlineLevel="0" collapsed="false">
      <c r="A237" s="12" t="n">
        <v>1982</v>
      </c>
      <c r="B237" s="12" t="n">
        <v>8</v>
      </c>
      <c r="C237" s="13" t="n">
        <v>1.56625806451613</v>
      </c>
      <c r="D237" s="13" t="n">
        <v>0.57060201825673</v>
      </c>
      <c r="E237" s="13" t="n">
        <v>0.995656046259399</v>
      </c>
      <c r="F237" s="13" t="n">
        <v>-0.0651778911559177</v>
      </c>
      <c r="G237" s="13" t="n">
        <v>-0.0537530834068558</v>
      </c>
      <c r="H237" s="13" t="n">
        <v>-0.0456336189044429</v>
      </c>
      <c r="I237" s="13" t="n">
        <v>-0.017774613748927</v>
      </c>
      <c r="J237" s="13" t="n">
        <v>0.271244545871746</v>
      </c>
      <c r="K237" s="13" t="n">
        <v>0.906750707603796</v>
      </c>
    </row>
    <row r="238" customFormat="false" ht="15" hidden="false" customHeight="false" outlineLevel="0" collapsed="false">
      <c r="A238" s="12" t="n">
        <v>1982</v>
      </c>
      <c r="B238" s="12" t="n">
        <v>9</v>
      </c>
      <c r="C238" s="13" t="n">
        <v>2.22333333333333</v>
      </c>
      <c r="D238" s="13" t="n">
        <v>0.97011617498184</v>
      </c>
      <c r="E238" s="13" t="n">
        <v>1.25321715835149</v>
      </c>
      <c r="F238" s="13" t="n">
        <v>0.208957733182424</v>
      </c>
      <c r="G238" s="13" t="n">
        <v>-0.146521038277681</v>
      </c>
      <c r="H238" s="13" t="n">
        <v>-0.0519068968269589</v>
      </c>
      <c r="I238" s="13" t="n">
        <v>0.001813427033594</v>
      </c>
      <c r="J238" s="13" t="n">
        <v>0.329714115580156</v>
      </c>
      <c r="K238" s="13" t="n">
        <v>0.91115981765996</v>
      </c>
    </row>
    <row r="239" customFormat="false" ht="15" hidden="false" customHeight="false" outlineLevel="0" collapsed="false">
      <c r="A239" s="12" t="n">
        <v>1982</v>
      </c>
      <c r="B239" s="12" t="n">
        <v>10</v>
      </c>
      <c r="C239" s="13" t="n">
        <v>2.30374193548387</v>
      </c>
      <c r="D239" s="13" t="n">
        <v>1.29201053022385</v>
      </c>
      <c r="E239" s="13" t="n">
        <v>1.01173140526002</v>
      </c>
      <c r="F239" s="13" t="n">
        <v>-0.0730916750673525</v>
      </c>
      <c r="G239" s="13" t="n">
        <v>-0.168286367005066</v>
      </c>
      <c r="H239" s="13" t="n">
        <v>-0.0499813500991628</v>
      </c>
      <c r="I239" s="13" t="n">
        <v>0.020588470709776</v>
      </c>
      <c r="J239" s="13" t="n">
        <v>0.383904308799555</v>
      </c>
      <c r="K239" s="13" t="n">
        <v>0.898598017922275</v>
      </c>
    </row>
    <row r="240" customFormat="false" ht="15" hidden="false" customHeight="false" outlineLevel="0" collapsed="false">
      <c r="A240" s="12" t="n">
        <v>1982</v>
      </c>
      <c r="B240" s="12" t="n">
        <v>11</v>
      </c>
      <c r="C240" s="13" t="n">
        <v>2.46203333333333</v>
      </c>
      <c r="D240" s="13" t="n">
        <v>1.33936422613352</v>
      </c>
      <c r="E240" s="13" t="n">
        <v>1.12266910719981</v>
      </c>
      <c r="F240" s="13" t="n">
        <v>-0.0915662185249117</v>
      </c>
      <c r="G240" s="13" t="n">
        <v>-0.0926087279673679</v>
      </c>
      <c r="H240" s="13" t="n">
        <v>-0.0401171769102804</v>
      </c>
      <c r="I240" s="13" t="n">
        <v>0.0369123586648294</v>
      </c>
      <c r="J240" s="13" t="n">
        <v>0.43177254573401</v>
      </c>
      <c r="K240" s="13" t="n">
        <v>0.878276326203532</v>
      </c>
    </row>
    <row r="241" customFormat="false" ht="15" hidden="false" customHeight="false" outlineLevel="0" collapsed="false">
      <c r="A241" s="12" t="n">
        <v>1982</v>
      </c>
      <c r="B241" s="12" t="n">
        <v>12</v>
      </c>
      <c r="C241" s="13" t="n">
        <v>2.49909677419355</v>
      </c>
      <c r="D241" s="13" t="n">
        <v>1.16322032939092</v>
      </c>
      <c r="E241" s="13" t="n">
        <v>1.33587644480263</v>
      </c>
      <c r="F241" s="13" t="n">
        <v>-0.0712477463483777</v>
      </c>
      <c r="G241" s="13" t="n">
        <v>0.0456370259405836</v>
      </c>
      <c r="H241" s="13" t="n">
        <v>-0.0238320032027345</v>
      </c>
      <c r="I241" s="13" t="n">
        <v>0.0494234454571501</v>
      </c>
      <c r="J241" s="13" t="n">
        <v>0.471461373323923</v>
      </c>
      <c r="K241" s="13" t="n">
        <v>0.864434349632081</v>
      </c>
    </row>
    <row r="242" customFormat="false" ht="15" hidden="false" customHeight="false" outlineLevel="0" collapsed="false">
      <c r="A242" s="12" t="n">
        <v>1983</v>
      </c>
      <c r="B242" s="12" t="n">
        <v>1</v>
      </c>
      <c r="C242" s="13" t="n">
        <v>2.82287741935484</v>
      </c>
      <c r="D242" s="13" t="n">
        <v>1.11712376879046</v>
      </c>
      <c r="E242" s="13" t="n">
        <v>1.70575365056438</v>
      </c>
      <c r="F242" s="13" t="n">
        <v>0.127417095658234</v>
      </c>
      <c r="G242" s="13" t="n">
        <v>0.167404613889516</v>
      </c>
      <c r="H242" s="13" t="n">
        <v>-0.00366759895902695</v>
      </c>
      <c r="I242" s="13" t="n">
        <v>0.057148861282366</v>
      </c>
      <c r="J242" s="13" t="n">
        <v>0.501400204004665</v>
      </c>
      <c r="K242" s="13" t="n">
        <v>0.856050474688629</v>
      </c>
    </row>
    <row r="243" customFormat="false" ht="15" hidden="false" customHeight="false" outlineLevel="0" collapsed="false">
      <c r="A243" s="12" t="n">
        <v>1983</v>
      </c>
      <c r="B243" s="12" t="n">
        <v>2</v>
      </c>
      <c r="C243" s="13" t="n">
        <v>2.933325</v>
      </c>
      <c r="D243" s="13" t="n">
        <v>1.25572704625383</v>
      </c>
      <c r="E243" s="13" t="n">
        <v>1.67759795374617</v>
      </c>
      <c r="F243" s="13" t="n">
        <v>0.0390232872387048</v>
      </c>
      <c r="G243" s="13" t="n">
        <v>0.199783636399442</v>
      </c>
      <c r="H243" s="13" t="n">
        <v>0.0171999465245947</v>
      </c>
      <c r="I243" s="13" t="n">
        <v>0.0595775828096955</v>
      </c>
      <c r="J243" s="13" t="n">
        <v>0.520394209514567</v>
      </c>
      <c r="K243" s="13" t="n">
        <v>0.84161929125917</v>
      </c>
    </row>
    <row r="244" customFormat="false" ht="15" hidden="false" customHeight="false" outlineLevel="0" collapsed="false">
      <c r="A244" s="12" t="n">
        <v>1983</v>
      </c>
      <c r="B244" s="12" t="n">
        <v>3</v>
      </c>
      <c r="C244" s="13" t="n">
        <v>3.00270322580645</v>
      </c>
      <c r="D244" s="13" t="n">
        <v>1.39477198581292</v>
      </c>
      <c r="E244" s="13" t="n">
        <v>1.60793123999353</v>
      </c>
      <c r="F244" s="13" t="n">
        <v>0.0435108898585531</v>
      </c>
      <c r="G244" s="13" t="n">
        <v>0.123965565994916</v>
      </c>
      <c r="H244" s="13" t="n">
        <v>0.0354466850178151</v>
      </c>
      <c r="I244" s="13" t="n">
        <v>0.0566891998680905</v>
      </c>
      <c r="J244" s="13" t="n">
        <v>0.527693927317621</v>
      </c>
      <c r="K244" s="13" t="n">
        <v>0.820624971936539</v>
      </c>
    </row>
    <row r="245" customFormat="false" ht="15" hidden="false" customHeight="false" outlineLevel="0" collapsed="false">
      <c r="A245" s="12" t="n">
        <v>1983</v>
      </c>
      <c r="B245" s="12" t="n">
        <v>4</v>
      </c>
      <c r="C245" s="13" t="n">
        <v>2.77869</v>
      </c>
      <c r="D245" s="13" t="n">
        <v>1.45888086301093</v>
      </c>
      <c r="E245" s="13" t="n">
        <v>1.31980913698907</v>
      </c>
      <c r="F245" s="13" t="n">
        <v>-0.0934044557724287</v>
      </c>
      <c r="G245" s="13" t="n">
        <v>-0.0140245581965223</v>
      </c>
      <c r="H245" s="13" t="n">
        <v>0.048113004630487</v>
      </c>
      <c r="I245" s="13" t="n">
        <v>0.0489374753774647</v>
      </c>
      <c r="J245" s="13" t="n">
        <v>0.523040336250137</v>
      </c>
      <c r="K245" s="13" t="n">
        <v>0.807147334699931</v>
      </c>
    </row>
    <row r="246" customFormat="false" ht="15" hidden="false" customHeight="false" outlineLevel="0" collapsed="false">
      <c r="A246" s="12" t="n">
        <v>1983</v>
      </c>
      <c r="B246" s="12" t="n">
        <v>5</v>
      </c>
      <c r="C246" s="13" t="n">
        <v>2.3333064516129</v>
      </c>
      <c r="D246" s="13" t="n">
        <v>1.20888469945773</v>
      </c>
      <c r="E246" s="13" t="n">
        <v>1.12442175215517</v>
      </c>
      <c r="F246" s="13" t="n">
        <v>-0.144406517551519</v>
      </c>
      <c r="G246" s="13" t="n">
        <v>-0.135842069560488</v>
      </c>
      <c r="H246" s="13" t="n">
        <v>0.0530693323649809</v>
      </c>
      <c r="I246" s="13" t="n">
        <v>0.0371919184127848</v>
      </c>
      <c r="J246" s="13" t="n">
        <v>0.506682123690903</v>
      </c>
      <c r="K246" s="13" t="n">
        <v>0.807726964798507</v>
      </c>
    </row>
    <row r="247" customFormat="false" ht="15" hidden="false" customHeight="false" outlineLevel="0" collapsed="false">
      <c r="A247" s="12" t="n">
        <v>1983</v>
      </c>
      <c r="B247" s="12" t="n">
        <v>6</v>
      </c>
      <c r="C247" s="13" t="n">
        <v>1.97145333333333</v>
      </c>
      <c r="D247" s="13" t="n">
        <v>0.626510058901239</v>
      </c>
      <c r="E247" s="13" t="n">
        <v>1.3449432744321</v>
      </c>
      <c r="F247" s="13" t="n">
        <v>0.167713836191615</v>
      </c>
      <c r="G247" s="13" t="n">
        <v>-0.180364605670914</v>
      </c>
      <c r="H247" s="13" t="n">
        <v>0.0493696990599265</v>
      </c>
      <c r="I247" s="13" t="n">
        <v>0.0226442554251217</v>
      </c>
      <c r="J247" s="13" t="n">
        <v>0.479364193213737</v>
      </c>
      <c r="K247" s="13" t="n">
        <v>0.806215896212607</v>
      </c>
    </row>
    <row r="248" customFormat="false" ht="15" hidden="false" customHeight="false" outlineLevel="0" collapsed="false">
      <c r="A248" s="12" t="n">
        <v>1983</v>
      </c>
      <c r="B248" s="12" t="n">
        <v>7</v>
      </c>
      <c r="C248" s="13" t="n">
        <v>1.41141612903226</v>
      </c>
      <c r="D248" s="13" t="n">
        <v>0.287567655325678</v>
      </c>
      <c r="E248" s="13" t="n">
        <v>1.12384847370658</v>
      </c>
      <c r="F248" s="13" t="n">
        <v>-0.00926312424320192</v>
      </c>
      <c r="G248" s="13" t="n">
        <v>-0.135406316570542</v>
      </c>
      <c r="H248" s="13" t="n">
        <v>0.0374401539719945</v>
      </c>
      <c r="I248" s="13" t="n">
        <v>0.00668957949360188</v>
      </c>
      <c r="J248" s="13" t="n">
        <v>0.442288641436481</v>
      </c>
      <c r="K248" s="13" t="n">
        <v>0.782099539618247</v>
      </c>
    </row>
    <row r="249" customFormat="false" ht="15" hidden="false" customHeight="false" outlineLevel="0" collapsed="false">
      <c r="A249" s="12" t="n">
        <v>1983</v>
      </c>
      <c r="B249" s="12" t="n">
        <v>8</v>
      </c>
      <c r="C249" s="13" t="n">
        <v>1.69546129032258</v>
      </c>
      <c r="D249" s="13" t="n">
        <v>0.476303205731054</v>
      </c>
      <c r="E249" s="13" t="n">
        <v>1.21915808459153</v>
      </c>
      <c r="F249" s="13" t="n">
        <v>0.107138363202263</v>
      </c>
      <c r="G249" s="13" t="n">
        <v>-0.0353533787257209</v>
      </c>
      <c r="H249" s="13" t="n">
        <v>0.0190667281257009</v>
      </c>
      <c r="I249" s="13" t="n">
        <v>-0.00920614767994652</v>
      </c>
      <c r="J249" s="13" t="n">
        <v>0.397051165579244</v>
      </c>
      <c r="K249" s="13" t="n">
        <v>0.740461354089986</v>
      </c>
    </row>
    <row r="250" customFormat="false" ht="15" hidden="false" customHeight="false" outlineLevel="0" collapsed="false">
      <c r="A250" s="12" t="n">
        <v>1983</v>
      </c>
      <c r="B250" s="12" t="n">
        <v>9</v>
      </c>
      <c r="C250" s="13" t="n">
        <v>1.80617333333333</v>
      </c>
      <c r="D250" s="13" t="n">
        <v>0.883778379932962</v>
      </c>
      <c r="E250" s="13" t="n">
        <v>0.922394953400372</v>
      </c>
      <c r="F250" s="13" t="n">
        <v>-0.172259379601735</v>
      </c>
      <c r="G250" s="13" t="n">
        <v>0.0657346933510979</v>
      </c>
      <c r="H250" s="13" t="n">
        <v>-0.0028295673391806</v>
      </c>
      <c r="I250" s="13" t="n">
        <v>-0.0236398007873766</v>
      </c>
      <c r="J250" s="13" t="n">
        <v>0.345557143852878</v>
      </c>
      <c r="K250" s="13" t="n">
        <v>0.709831863924688</v>
      </c>
    </row>
    <row r="251" customFormat="false" ht="15" hidden="false" customHeight="false" outlineLevel="0" collapsed="false">
      <c r="A251" s="12" t="n">
        <v>1983</v>
      </c>
      <c r="B251" s="12" t="n">
        <v>10</v>
      </c>
      <c r="C251" s="13" t="n">
        <v>2.17087096774194</v>
      </c>
      <c r="D251" s="13" t="n">
        <v>1.21376460331183</v>
      </c>
      <c r="E251" s="13" t="n">
        <v>0.957106364430108</v>
      </c>
      <c r="F251" s="13" t="n">
        <v>-0.102895767188186</v>
      </c>
      <c r="G251" s="13" t="n">
        <v>0.124171875268156</v>
      </c>
      <c r="H251" s="13" t="n">
        <v>-0.0246153269365146</v>
      </c>
      <c r="I251" s="13" t="n">
        <v>-0.035393948308431</v>
      </c>
      <c r="J251" s="13" t="n">
        <v>0.289922573661608</v>
      </c>
      <c r="K251" s="13" t="n">
        <v>0.705916957933475</v>
      </c>
    </row>
    <row r="252" customFormat="false" ht="15" hidden="false" customHeight="false" outlineLevel="0" collapsed="false">
      <c r="A252" s="12" t="n">
        <v>1983</v>
      </c>
      <c r="B252" s="12" t="n">
        <v>11</v>
      </c>
      <c r="C252" s="13" t="n">
        <v>2.45059333333333</v>
      </c>
      <c r="D252" s="13" t="n">
        <v>1.269325377364</v>
      </c>
      <c r="E252" s="13" t="n">
        <v>1.18126795596934</v>
      </c>
      <c r="F252" s="13" t="n">
        <v>0.201150124143023</v>
      </c>
      <c r="G252" s="13" t="n">
        <v>0.123900557758597</v>
      </c>
      <c r="H252" s="13" t="n">
        <v>-0.0425178689229832</v>
      </c>
      <c r="I252" s="13" t="n">
        <v>-0.0435382618580809</v>
      </c>
      <c r="J252" s="13" t="n">
        <v>0.23236569975035</v>
      </c>
      <c r="K252" s="13" t="n">
        <v>0.709907705098432</v>
      </c>
    </row>
    <row r="253" customFormat="false" ht="15" hidden="false" customHeight="false" outlineLevel="0" collapsed="false">
      <c r="A253" s="12" t="n">
        <v>1983</v>
      </c>
      <c r="B253" s="12" t="n">
        <v>12</v>
      </c>
      <c r="C253" s="13" t="n">
        <v>2.03399032258065</v>
      </c>
      <c r="D253" s="13" t="n">
        <v>1.10148786831648</v>
      </c>
      <c r="E253" s="13" t="n">
        <v>0.932502454264163</v>
      </c>
      <c r="F253" s="13" t="n">
        <v>0.0880830292298461</v>
      </c>
      <c r="G253" s="13" t="n">
        <v>0.0767601684273193</v>
      </c>
      <c r="H253" s="13" t="n">
        <v>-0.0532701506914608</v>
      </c>
      <c r="I253" s="13" t="n">
        <v>-0.0475012249695799</v>
      </c>
      <c r="J253" s="13" t="n">
        <v>0.175095494546141</v>
      </c>
      <c r="K253" s="13" t="n">
        <v>0.693335137721897</v>
      </c>
    </row>
    <row r="254" customFormat="false" ht="15" hidden="false" customHeight="false" outlineLevel="0" collapsed="false">
      <c r="A254" s="12" t="n">
        <v>1984</v>
      </c>
      <c r="B254" s="12" t="n">
        <v>1</v>
      </c>
      <c r="C254" s="13" t="n">
        <v>1.63599032258065</v>
      </c>
      <c r="D254" s="13" t="n">
        <v>1.0637808870556</v>
      </c>
      <c r="E254" s="13" t="n">
        <v>0.572209435525048</v>
      </c>
      <c r="F254" s="13" t="n">
        <v>-0.111650644806404</v>
      </c>
      <c r="G254" s="13" t="n">
        <v>0.0102107129032264</v>
      </c>
      <c r="H254" s="13" t="n">
        <v>-0.0547233595379639</v>
      </c>
      <c r="I254" s="13" t="n">
        <v>-0.047106882767516</v>
      </c>
      <c r="J254" s="13" t="n">
        <v>0.120203202272797</v>
      </c>
      <c r="K254" s="13" t="n">
        <v>0.655276407460908</v>
      </c>
    </row>
    <row r="255" customFormat="false" ht="15" hidden="false" customHeight="false" outlineLevel="0" collapsed="false">
      <c r="A255" s="12" t="n">
        <v>1984</v>
      </c>
      <c r="B255" s="12" t="n">
        <v>2</v>
      </c>
      <c r="C255" s="13" t="n">
        <v>1.58538965517241</v>
      </c>
      <c r="D255" s="13" t="n">
        <v>1.21084064309696</v>
      </c>
      <c r="E255" s="13" t="n">
        <v>0.374549012075458</v>
      </c>
      <c r="F255" s="13" t="n">
        <v>-0.177266378182874</v>
      </c>
      <c r="G255" s="13" t="n">
        <v>-0.0487275079390281</v>
      </c>
      <c r="H255" s="13" t="n">
        <v>-0.046311735503846</v>
      </c>
      <c r="I255" s="13" t="n">
        <v>-0.042574718985165</v>
      </c>
      <c r="J255" s="13" t="n">
        <v>0.0695630000166919</v>
      </c>
      <c r="K255" s="13" t="n">
        <v>0.61986635266968</v>
      </c>
    </row>
    <row r="256" customFormat="false" ht="15" hidden="false" customHeight="false" outlineLevel="0" collapsed="false">
      <c r="A256" s="12" t="n">
        <v>1984</v>
      </c>
      <c r="B256" s="12" t="n">
        <v>3</v>
      </c>
      <c r="C256" s="13" t="n">
        <v>1.9700064516129</v>
      </c>
      <c r="D256" s="13" t="n">
        <v>1.35839253700572</v>
      </c>
      <c r="E256" s="13" t="n">
        <v>0.611613914607182</v>
      </c>
      <c r="F256" s="13" t="n">
        <v>0.133036605513619</v>
      </c>
      <c r="G256" s="13" t="n">
        <v>-0.0839503392781126</v>
      </c>
      <c r="H256" s="13" t="n">
        <v>-0.0292639923535397</v>
      </c>
      <c r="I256" s="13" t="n">
        <v>-0.0344841289219392</v>
      </c>
      <c r="J256" s="13" t="n">
        <v>0.0247474021112034</v>
      </c>
      <c r="K256" s="13" t="n">
        <v>0.601528367535952</v>
      </c>
    </row>
    <row r="257" customFormat="false" ht="15" hidden="false" customHeight="false" outlineLevel="0" collapsed="false">
      <c r="A257" s="12" t="n">
        <v>1984</v>
      </c>
      <c r="B257" s="12" t="n">
        <v>4</v>
      </c>
      <c r="C257" s="13" t="n">
        <v>1.99208</v>
      </c>
      <c r="D257" s="13" t="n">
        <v>1.431042333592</v>
      </c>
      <c r="E257" s="13" t="n">
        <v>0.561037666408002</v>
      </c>
      <c r="F257" s="13" t="n">
        <v>0.104797748264291</v>
      </c>
      <c r="G257" s="13" t="n">
        <v>-0.0906288379859901</v>
      </c>
      <c r="H257" s="13" t="n">
        <v>-0.00649023067304143</v>
      </c>
      <c r="I257" s="13" t="n">
        <v>-0.0237080722194461</v>
      </c>
      <c r="J257" s="13" t="n">
        <v>-0.0130378637641471</v>
      </c>
      <c r="K257" s="13" t="n">
        <v>0.590104922786336</v>
      </c>
    </row>
    <row r="258" customFormat="false" ht="15" hidden="false" customHeight="false" outlineLevel="0" collapsed="false">
      <c r="A258" s="12" t="n">
        <v>1984</v>
      </c>
      <c r="B258" s="12" t="n">
        <v>5</v>
      </c>
      <c r="C258" s="13" t="n">
        <v>1.61058387096774</v>
      </c>
      <c r="D258" s="13" t="n">
        <v>1.18960450046955</v>
      </c>
      <c r="E258" s="13" t="n">
        <v>0.420979370498192</v>
      </c>
      <c r="F258" s="13" t="n">
        <v>-0.0446680190935314</v>
      </c>
      <c r="G258" s="13" t="n">
        <v>-0.0696633931902549</v>
      </c>
      <c r="H258" s="13" t="n">
        <v>0.0178698594037821</v>
      </c>
      <c r="I258" s="13" t="n">
        <v>-0.0113230699302141</v>
      </c>
      <c r="J258" s="13" t="n">
        <v>-0.0429962276886925</v>
      </c>
      <c r="K258" s="13" t="n">
        <v>0.571760220997102</v>
      </c>
    </row>
    <row r="259" customFormat="false" ht="15" hidden="false" customHeight="false" outlineLevel="0" collapsed="false">
      <c r="A259" s="12" t="n">
        <v>1984</v>
      </c>
      <c r="B259" s="12" t="n">
        <v>6</v>
      </c>
      <c r="C259" s="13" t="n">
        <v>1.07545666666667</v>
      </c>
      <c r="D259" s="13" t="n">
        <v>0.615789048218799</v>
      </c>
      <c r="E259" s="13" t="n">
        <v>0.459667618447868</v>
      </c>
      <c r="F259" s="13" t="n">
        <v>-0.0393725516187466</v>
      </c>
      <c r="G259" s="13" t="n">
        <v>-0.0250720425401359</v>
      </c>
      <c r="H259" s="13" t="n">
        <v>0.0391816620448843</v>
      </c>
      <c r="I259" s="13" t="n">
        <v>0.0014954532855907</v>
      </c>
      <c r="J259" s="13" t="n">
        <v>-0.0647583941685273</v>
      </c>
      <c r="K259" s="13" t="n">
        <v>0.548193491444803</v>
      </c>
    </row>
    <row r="260" customFormat="false" ht="15" hidden="false" customHeight="false" outlineLevel="0" collapsed="false">
      <c r="A260" s="12" t="n">
        <v>1984</v>
      </c>
      <c r="B260" s="12" t="n">
        <v>7</v>
      </c>
      <c r="C260" s="13" t="n">
        <v>0.716816129032258</v>
      </c>
      <c r="D260" s="13" t="n">
        <v>0.285390182546011</v>
      </c>
      <c r="E260" s="13" t="n">
        <v>0.431425946486247</v>
      </c>
      <c r="F260" s="13" t="n">
        <v>-0.1172877635833</v>
      </c>
      <c r="G260" s="13" t="n">
        <v>0.0322890784411427</v>
      </c>
      <c r="H260" s="13" t="n">
        <v>0.0532089842477706</v>
      </c>
      <c r="I260" s="13" t="n">
        <v>0.0135825236313725</v>
      </c>
      <c r="J260" s="13" t="n">
        <v>-0.0783764867234682</v>
      </c>
      <c r="K260" s="13" t="n">
        <v>0.528009610472729</v>
      </c>
    </row>
    <row r="261" customFormat="false" ht="15" hidden="false" customHeight="false" outlineLevel="0" collapsed="false">
      <c r="A261" s="12" t="n">
        <v>1984</v>
      </c>
      <c r="B261" s="12" t="n">
        <v>8</v>
      </c>
      <c r="C261" s="13" t="n">
        <v>1.21871612903226</v>
      </c>
      <c r="D261" s="13" t="n">
        <v>0.482637200913426</v>
      </c>
      <c r="E261" s="13" t="n">
        <v>0.736078928118833</v>
      </c>
      <c r="F261" s="13" t="n">
        <v>0.147010913844182</v>
      </c>
      <c r="G261" s="13" t="n">
        <v>0.0813186853360621</v>
      </c>
      <c r="H261" s="13" t="n">
        <v>0.0569924344335314</v>
      </c>
      <c r="I261" s="13" t="n">
        <v>0.0238876833745689</v>
      </c>
      <c r="J261" s="13" t="n">
        <v>-0.0842960964933182</v>
      </c>
      <c r="K261" s="13" t="n">
        <v>0.511165307623806</v>
      </c>
    </row>
    <row r="262" customFormat="false" ht="15" hidden="false" customHeight="false" outlineLevel="0" collapsed="false">
      <c r="A262" s="12" t="n">
        <v>1984</v>
      </c>
      <c r="B262" s="12" t="n">
        <v>9</v>
      </c>
      <c r="C262" s="13" t="n">
        <v>1.51115666666667</v>
      </c>
      <c r="D262" s="13" t="n">
        <v>0.898575485904786</v>
      </c>
      <c r="E262" s="13" t="n">
        <v>0.612581180761881</v>
      </c>
      <c r="F262" s="13" t="n">
        <v>0.0251368712929222</v>
      </c>
      <c r="G262" s="13" t="n">
        <v>0.0968494756529189</v>
      </c>
      <c r="H262" s="13" t="n">
        <v>0.0495235808287823</v>
      </c>
      <c r="I262" s="13" t="n">
        <v>0.031564648089896</v>
      </c>
      <c r="J262" s="13" t="n">
        <v>-0.0833094275843513</v>
      </c>
      <c r="K262" s="13" t="n">
        <v>0.492816032481713</v>
      </c>
    </row>
    <row r="263" customFormat="false" ht="15" hidden="false" customHeight="false" outlineLevel="0" collapsed="false">
      <c r="A263" s="12" t="n">
        <v>1984</v>
      </c>
      <c r="B263" s="12" t="n">
        <v>10</v>
      </c>
      <c r="C263" s="13" t="n">
        <v>1.73347419354839</v>
      </c>
      <c r="D263" s="13" t="n">
        <v>1.23696035109076</v>
      </c>
      <c r="E263" s="13" t="n">
        <v>0.496513842457624</v>
      </c>
      <c r="F263" s="13" t="n">
        <v>-0.0366621411168799</v>
      </c>
      <c r="G263" s="13" t="n">
        <v>0.0655634974806586</v>
      </c>
      <c r="H263" s="13" t="n">
        <v>0.0320523468870678</v>
      </c>
      <c r="I263" s="13" t="n">
        <v>0.0360390862118012</v>
      </c>
      <c r="J263" s="13" t="n">
        <v>-0.0764936500292253</v>
      </c>
      <c r="K263" s="13" t="n">
        <v>0.476014703024202</v>
      </c>
    </row>
    <row r="264" customFormat="false" ht="15" hidden="false" customHeight="false" outlineLevel="0" collapsed="false">
      <c r="A264" s="12" t="n">
        <v>1984</v>
      </c>
      <c r="B264" s="12" t="n">
        <v>11</v>
      </c>
      <c r="C264" s="13" t="n">
        <v>1.68005333333333</v>
      </c>
      <c r="D264" s="13" t="n">
        <v>1.30083940410701</v>
      </c>
      <c r="E264" s="13" t="n">
        <v>0.379213929226326</v>
      </c>
      <c r="F264" s="13" t="n">
        <v>-0.0688936923851996</v>
      </c>
      <c r="G264" s="13" t="n">
        <v>-0.000139206894212852</v>
      </c>
      <c r="H264" s="13" t="n">
        <v>0.00793272975441048</v>
      </c>
      <c r="I264" s="13" t="n">
        <v>0.037049303149275</v>
      </c>
      <c r="J264" s="13" t="n">
        <v>-0.065138964058911</v>
      </c>
      <c r="K264" s="13" t="n">
        <v>0.468403759660964</v>
      </c>
    </row>
    <row r="265" customFormat="false" ht="15" hidden="false" customHeight="false" outlineLevel="0" collapsed="false">
      <c r="A265" s="12" t="n">
        <v>1984</v>
      </c>
      <c r="B265" s="12" t="n">
        <v>12</v>
      </c>
      <c r="C265" s="13" t="n">
        <v>1.52725161290323</v>
      </c>
      <c r="D265" s="13" t="n">
        <v>1.14122417712173</v>
      </c>
      <c r="E265" s="13" t="n">
        <v>0.386027435781499</v>
      </c>
      <c r="F265" s="13" t="n">
        <v>0.0168519819053139</v>
      </c>
      <c r="G265" s="13" t="n">
        <v>-0.0642268018446766</v>
      </c>
      <c r="H265" s="13" t="n">
        <v>-0.0179916111993899</v>
      </c>
      <c r="I265" s="13" t="n">
        <v>0.0346572416572851</v>
      </c>
      <c r="J265" s="13" t="n">
        <v>-0.0506707758179871</v>
      </c>
      <c r="K265" s="13" t="n">
        <v>0.467407401080954</v>
      </c>
    </row>
    <row r="266" customFormat="false" ht="15" hidden="false" customHeight="false" outlineLevel="0" collapsed="false">
      <c r="A266" s="12" t="n">
        <v>1985</v>
      </c>
      <c r="B266" s="12" t="n">
        <v>1</v>
      </c>
      <c r="C266" s="13" t="n">
        <v>1.56235161290323</v>
      </c>
      <c r="D266" s="13" t="n">
        <v>1.11162814777222</v>
      </c>
      <c r="E266" s="13" t="n">
        <v>0.450723465131006</v>
      </c>
      <c r="F266" s="13" t="n">
        <v>0.124662886538947</v>
      </c>
      <c r="G266" s="13" t="n">
        <v>-0.0879189650649111</v>
      </c>
      <c r="H266" s="13" t="n">
        <v>-0.0403558098972948</v>
      </c>
      <c r="I266" s="13" t="n">
        <v>0.0292299666883968</v>
      </c>
      <c r="J266" s="13" t="n">
        <v>-0.0345700026183151</v>
      </c>
      <c r="K266" s="13" t="n">
        <v>0.459675389484183</v>
      </c>
    </row>
    <row r="267" customFormat="false" ht="15" hidden="false" customHeight="false" outlineLevel="0" collapsed="false">
      <c r="A267" s="12" t="n">
        <v>1985</v>
      </c>
      <c r="B267" s="12" t="n">
        <v>2</v>
      </c>
      <c r="C267" s="13" t="n">
        <v>1.46162857142857</v>
      </c>
      <c r="D267" s="13" t="n">
        <v>1.26667253319572</v>
      </c>
      <c r="E267" s="13" t="n">
        <v>0.194956038232856</v>
      </c>
      <c r="F267" s="13" t="n">
        <v>-0.135251836361824</v>
      </c>
      <c r="G267" s="13" t="n">
        <v>-0.056576956014995</v>
      </c>
      <c r="H267" s="13" t="n">
        <v>-0.0544023143694247</v>
      </c>
      <c r="I267" s="13" t="n">
        <v>0.0213944351341129</v>
      </c>
      <c r="J267" s="13" t="n">
        <v>-0.0182951025146474</v>
      </c>
      <c r="K267" s="13" t="n">
        <v>0.438087812359634</v>
      </c>
    </row>
    <row r="268" customFormat="false" ht="15" hidden="false" customHeight="false" outlineLevel="0" collapsed="false">
      <c r="A268" s="12" t="n">
        <v>1985</v>
      </c>
      <c r="B268" s="12" t="n">
        <v>3</v>
      </c>
      <c r="C268" s="13" t="n">
        <v>1.85143870967742</v>
      </c>
      <c r="D268" s="13" t="n">
        <v>1.42206812144702</v>
      </c>
      <c r="E268" s="13" t="n">
        <v>0.429370588230402</v>
      </c>
      <c r="F268" s="13" t="n">
        <v>0.0588778276295743</v>
      </c>
      <c r="G268" s="13" t="n">
        <v>0.0075342017181601</v>
      </c>
      <c r="H268" s="13" t="n">
        <v>-0.0570267966850252</v>
      </c>
      <c r="I268" s="13" t="n">
        <v>0.011970629022779</v>
      </c>
      <c r="J268" s="13" t="n">
        <v>-0.00320905805390468</v>
      </c>
      <c r="K268" s="13" t="n">
        <v>0.411223784598819</v>
      </c>
    </row>
    <row r="269" customFormat="false" ht="15" hidden="false" customHeight="false" outlineLevel="0" collapsed="false">
      <c r="A269" s="12" t="n">
        <v>1985</v>
      </c>
      <c r="B269" s="12" t="n">
        <v>4</v>
      </c>
      <c r="C269" s="13" t="n">
        <v>1.85095666666667</v>
      </c>
      <c r="D269" s="13" t="n">
        <v>1.5024064825015</v>
      </c>
      <c r="E269" s="13" t="n">
        <v>0.348550184165167</v>
      </c>
      <c r="F269" s="13" t="n">
        <v>-0.0652675657460857</v>
      </c>
      <c r="G269" s="13" t="n">
        <v>0.0586722034255369</v>
      </c>
      <c r="H269" s="13" t="n">
        <v>-0.0475037214447915</v>
      </c>
      <c r="I269" s="13" t="n">
        <v>0.00188986654947649</v>
      </c>
      <c r="J269" s="13" t="n">
        <v>0.00948577674186302</v>
      </c>
      <c r="K269" s="13" t="n">
        <v>0.391273624639168</v>
      </c>
    </row>
    <row r="270" customFormat="false" ht="15" hidden="false" customHeight="false" outlineLevel="0" collapsed="false">
      <c r="A270" s="12" t="n">
        <v>1985</v>
      </c>
      <c r="B270" s="12" t="n">
        <v>5</v>
      </c>
      <c r="C270" s="13" t="n">
        <v>1.68507741935484</v>
      </c>
      <c r="D270" s="13" t="n">
        <v>1.26848834331994</v>
      </c>
      <c r="E270" s="13" t="n">
        <v>0.416589076034904</v>
      </c>
      <c r="F270" s="13" t="n">
        <v>-0.00492842382441512</v>
      </c>
      <c r="G270" s="13" t="n">
        <v>0.0600579538657625</v>
      </c>
      <c r="H270" s="13" t="n">
        <v>-0.0277146216356778</v>
      </c>
      <c r="I270" s="13" t="n">
        <v>-0.00789383329510324</v>
      </c>
      <c r="J270" s="13" t="n">
        <v>0.0188023728766789</v>
      </c>
      <c r="K270" s="13" t="n">
        <v>0.378265628047659</v>
      </c>
    </row>
    <row r="271" customFormat="false" ht="15" hidden="false" customHeight="false" outlineLevel="0" collapsed="false">
      <c r="A271" s="12" t="n">
        <v>1985</v>
      </c>
      <c r="B271" s="12" t="n">
        <v>6</v>
      </c>
      <c r="C271" s="13" t="n">
        <v>1.28004333333333</v>
      </c>
      <c r="D271" s="13" t="n">
        <v>0.702010463115805</v>
      </c>
      <c r="E271" s="13" t="n">
        <v>0.578032870217528</v>
      </c>
      <c r="F271" s="13" t="n">
        <v>0.197614036305863</v>
      </c>
      <c r="G271" s="13" t="n">
        <v>0.0118592928467112</v>
      </c>
      <c r="H271" s="13" t="n">
        <v>-0.00180741049064141</v>
      </c>
      <c r="I271" s="13" t="n">
        <v>-0.0164911363654853</v>
      </c>
      <c r="J271" s="13" t="n">
        <v>0.0240110392846973</v>
      </c>
      <c r="K271" s="13" t="n">
        <v>0.362847048636383</v>
      </c>
    </row>
    <row r="272" customFormat="false" ht="15" hidden="false" customHeight="false" outlineLevel="0" collapsed="false">
      <c r="A272" s="12" t="n">
        <v>1985</v>
      </c>
      <c r="B272" s="12" t="n">
        <v>7</v>
      </c>
      <c r="C272" s="13" t="n">
        <v>0.577896774193548</v>
      </c>
      <c r="D272" s="13" t="n">
        <v>0.378754319097946</v>
      </c>
      <c r="E272" s="13" t="n">
        <v>0.199142455095602</v>
      </c>
      <c r="F272" s="13" t="n">
        <v>-0.120741479549724</v>
      </c>
      <c r="G272" s="13" t="n">
        <v>-0.047784709011664</v>
      </c>
      <c r="H272" s="13" t="n">
        <v>0.0246579252964967</v>
      </c>
      <c r="I272" s="13" t="n">
        <v>-0.0231557520150875</v>
      </c>
      <c r="J272" s="13" t="n">
        <v>0.0246670259966007</v>
      </c>
      <c r="K272" s="13" t="n">
        <v>0.34149944437898</v>
      </c>
    </row>
    <row r="273" customFormat="false" ht="15" hidden="false" customHeight="false" outlineLevel="0" collapsed="false">
      <c r="A273" s="12" t="n">
        <v>1985</v>
      </c>
      <c r="B273" s="12" t="n">
        <v>8</v>
      </c>
      <c r="C273" s="13" t="n">
        <v>0.76981935483871</v>
      </c>
      <c r="D273" s="13" t="n">
        <v>0.582937035076705</v>
      </c>
      <c r="E273" s="13" t="n">
        <v>0.186882319762005</v>
      </c>
      <c r="F273" s="13" t="n">
        <v>-0.101081601442451</v>
      </c>
      <c r="G273" s="13" t="n">
        <v>-0.0711781038490023</v>
      </c>
      <c r="H273" s="13" t="n">
        <v>0.0459022605090933</v>
      </c>
      <c r="I273" s="13" t="n">
        <v>-0.0273470787793768</v>
      </c>
      <c r="J273" s="13" t="n">
        <v>0.0206226817458932</v>
      </c>
      <c r="K273" s="13" t="n">
        <v>0.319964161577849</v>
      </c>
    </row>
    <row r="274" customFormat="false" ht="15" hidden="false" customHeight="false" outlineLevel="0" collapsed="false">
      <c r="A274" s="12" t="n">
        <v>1985</v>
      </c>
      <c r="B274" s="12" t="n">
        <v>9</v>
      </c>
      <c r="C274" s="13" t="n">
        <v>1.31796</v>
      </c>
      <c r="D274" s="13" t="n">
        <v>1.00559240510463</v>
      </c>
      <c r="E274" s="13" t="n">
        <v>0.312367594895371</v>
      </c>
      <c r="F274" s="13" t="n">
        <v>0.00842143122590084</v>
      </c>
      <c r="G274" s="13" t="n">
        <v>-0.0374950944940131</v>
      </c>
      <c r="H274" s="13" t="n">
        <v>0.0572002081959797</v>
      </c>
      <c r="I274" s="13" t="n">
        <v>-0.0287720918206533</v>
      </c>
      <c r="J274" s="13" t="n">
        <v>0.0120239504326004</v>
      </c>
      <c r="K274" s="13" t="n">
        <v>0.300989191355557</v>
      </c>
    </row>
    <row r="275" customFormat="false" ht="15" hidden="false" customHeight="false" outlineLevel="0" collapsed="false">
      <c r="A275" s="12" t="n">
        <v>1985</v>
      </c>
      <c r="B275" s="12" t="n">
        <v>10</v>
      </c>
      <c r="C275" s="13" t="n">
        <v>1.82816129032258</v>
      </c>
      <c r="D275" s="13" t="n">
        <v>1.35046476780226</v>
      </c>
      <c r="E275" s="13" t="n">
        <v>0.477696522520317</v>
      </c>
      <c r="F275" s="13" t="n">
        <v>0.140020868170706</v>
      </c>
      <c r="G275" s="13" t="n">
        <v>0.0313048786588301</v>
      </c>
      <c r="H275" s="13" t="n">
        <v>0.0559475978098535</v>
      </c>
      <c r="I275" s="13" t="n">
        <v>-0.0274034512308643</v>
      </c>
      <c r="J275" s="13" t="n">
        <v>-0.000708221958862587</v>
      </c>
      <c r="K275" s="13" t="n">
        <v>0.278534851070654</v>
      </c>
    </row>
    <row r="276" customFormat="false" ht="15" hidden="false" customHeight="false" outlineLevel="0" collapsed="false">
      <c r="A276" s="12" t="n">
        <v>1985</v>
      </c>
      <c r="B276" s="12" t="n">
        <v>11</v>
      </c>
      <c r="C276" s="13" t="n">
        <v>1.72304333333333</v>
      </c>
      <c r="D276" s="13" t="n">
        <v>1.42059139604455</v>
      </c>
      <c r="E276" s="13" t="n">
        <v>0.302451937288788</v>
      </c>
      <c r="F276" s="13" t="n">
        <v>-0.0348598238359857</v>
      </c>
      <c r="G276" s="13" t="n">
        <v>0.0869843133330162</v>
      </c>
      <c r="H276" s="13" t="n">
        <v>0.0422768939703659</v>
      </c>
      <c r="I276" s="13" t="n">
        <v>-0.023473025863177</v>
      </c>
      <c r="J276" s="13" t="n">
        <v>-0.0169103555100306</v>
      </c>
      <c r="K276" s="13" t="n">
        <v>0.248433935194599</v>
      </c>
    </row>
    <row r="277" customFormat="false" ht="15" hidden="false" customHeight="false" outlineLevel="0" collapsed="false">
      <c r="A277" s="12" t="n">
        <v>1985</v>
      </c>
      <c r="B277" s="12" t="n">
        <v>12</v>
      </c>
      <c r="C277" s="13" t="n">
        <v>1.45170967741936</v>
      </c>
      <c r="D277" s="13" t="n">
        <v>1.26697415205129</v>
      </c>
      <c r="E277" s="13" t="n">
        <v>0.184735525368069</v>
      </c>
      <c r="F277" s="13" t="n">
        <v>-0.0883257090409102</v>
      </c>
      <c r="G277" s="13" t="n">
        <v>0.0900417566345752</v>
      </c>
      <c r="H277" s="13" t="n">
        <v>0.0190709873982473</v>
      </c>
      <c r="I277" s="13" t="n">
        <v>-0.0174422328339937</v>
      </c>
      <c r="J277" s="13" t="n">
        <v>-0.0357209976926367</v>
      </c>
      <c r="K277" s="13" t="n">
        <v>0.217111720902787</v>
      </c>
    </row>
    <row r="278" customFormat="false" ht="15" hidden="false" customHeight="false" outlineLevel="0" collapsed="false">
      <c r="A278" s="12" t="n">
        <v>1986</v>
      </c>
      <c r="B278" s="12" t="n">
        <v>1</v>
      </c>
      <c r="C278" s="13" t="n">
        <v>1.45861935483871</v>
      </c>
      <c r="D278" s="13" t="n">
        <v>1.2431175309344</v>
      </c>
      <c r="E278" s="13" t="n">
        <v>0.215501823904307</v>
      </c>
      <c r="F278" s="13" t="n">
        <v>0.059198919880789</v>
      </c>
      <c r="G278" s="13" t="n">
        <v>0.0364706885041666</v>
      </c>
      <c r="H278" s="13" t="n">
        <v>-0.00863975603772078</v>
      </c>
      <c r="I278" s="13" t="n">
        <v>-0.00995259600613633</v>
      </c>
      <c r="J278" s="13" t="n">
        <v>-0.056134969259219</v>
      </c>
      <c r="K278" s="13" t="n">
        <v>0.194559536822428</v>
      </c>
    </row>
    <row r="279" customFormat="false" ht="15" hidden="false" customHeight="false" outlineLevel="0" collapsed="false">
      <c r="A279" s="12" t="n">
        <v>1986</v>
      </c>
      <c r="B279" s="12" t="n">
        <v>2</v>
      </c>
      <c r="C279" s="13" t="n">
        <v>1.50262142857143</v>
      </c>
      <c r="D279" s="13" t="n">
        <v>1.40363447524532</v>
      </c>
      <c r="E279" s="13" t="n">
        <v>0.0989869533261059</v>
      </c>
      <c r="F279" s="13" t="n">
        <v>0.0709766327379527</v>
      </c>
      <c r="G279" s="13" t="n">
        <v>-0.0414580606047579</v>
      </c>
      <c r="H279" s="13" t="n">
        <v>-0.0347711413270248</v>
      </c>
      <c r="I279" s="13" t="n">
        <v>-0.00176156101025219</v>
      </c>
      <c r="J279" s="13" t="n">
        <v>-0.0770642149910687</v>
      </c>
      <c r="K279" s="13" t="n">
        <v>0.183065298521257</v>
      </c>
    </row>
    <row r="280" customFormat="false" ht="15" hidden="false" customHeight="false" outlineLevel="0" collapsed="false">
      <c r="A280" s="12" t="n">
        <v>1986</v>
      </c>
      <c r="B280" s="12" t="n">
        <v>3</v>
      </c>
      <c r="C280" s="13" t="n">
        <v>1.35356451612903</v>
      </c>
      <c r="D280" s="13" t="n">
        <v>1.56422822474867</v>
      </c>
      <c r="E280" s="13" t="n">
        <v>-0.210663708619637</v>
      </c>
      <c r="F280" s="13" t="n">
        <v>-0.143792152705799</v>
      </c>
      <c r="G280" s="13" t="n">
        <v>-0.0976491258275025</v>
      </c>
      <c r="H280" s="13" t="n">
        <v>-0.0535287090998236</v>
      </c>
      <c r="I280" s="13" t="n">
        <v>0.00633025815479492</v>
      </c>
      <c r="J280" s="13" t="n">
        <v>-0.0974016351040899</v>
      </c>
      <c r="K280" s="13" t="n">
        <v>0.175377655962783</v>
      </c>
    </row>
    <row r="281" customFormat="false" ht="15" hidden="false" customHeight="false" outlineLevel="0" collapsed="false">
      <c r="A281" s="12" t="n">
        <v>1986</v>
      </c>
      <c r="B281" s="12" t="n">
        <v>4</v>
      </c>
      <c r="C281" s="13" t="n">
        <v>1.58728666666667</v>
      </c>
      <c r="D281" s="13" t="n">
        <v>1.64948354357757</v>
      </c>
      <c r="E281" s="13" t="n">
        <v>-0.0621968769109021</v>
      </c>
      <c r="F281" s="13" t="n">
        <v>0.0409217257247149</v>
      </c>
      <c r="G281" s="13" t="n">
        <v>-0.100527438560376</v>
      </c>
      <c r="H281" s="13" t="n">
        <v>-0.0606997306422913</v>
      </c>
      <c r="I281" s="13" t="n">
        <v>0.0135536652282767</v>
      </c>
      <c r="J281" s="13" t="n">
        <v>-0.116084025832077</v>
      </c>
      <c r="K281" s="13" t="n">
        <v>0.160638927170851</v>
      </c>
    </row>
    <row r="282" customFormat="false" ht="15" hidden="false" customHeight="false" outlineLevel="0" collapsed="false">
      <c r="A282" s="12" t="n">
        <v>1986</v>
      </c>
      <c r="B282" s="12" t="n">
        <v>5</v>
      </c>
      <c r="C282" s="13" t="n">
        <v>1.41422903225806</v>
      </c>
      <c r="D282" s="13" t="n">
        <v>1.4201951092095</v>
      </c>
      <c r="E282" s="13" t="n">
        <v>-0.00596607695143953</v>
      </c>
      <c r="F282" s="13" t="n">
        <v>0.0786903941505384</v>
      </c>
      <c r="G282" s="13" t="n">
        <v>-0.0498311471627931</v>
      </c>
      <c r="H282" s="13" t="n">
        <v>-0.054600626294324</v>
      </c>
      <c r="I282" s="13" t="n">
        <v>0.019240608591967</v>
      </c>
      <c r="J282" s="13" t="n">
        <v>-0.132150404996218</v>
      </c>
      <c r="K282" s="13" t="n">
        <v>0.13268509875939</v>
      </c>
    </row>
    <row r="283" customFormat="false" ht="15" hidden="false" customHeight="false" outlineLevel="0" collapsed="false">
      <c r="A283" s="12" t="n">
        <v>1986</v>
      </c>
      <c r="B283" s="12" t="n">
        <v>6</v>
      </c>
      <c r="C283" s="13" t="n">
        <v>0.740063333333333</v>
      </c>
      <c r="D283" s="13" t="n">
        <v>0.858054399349773</v>
      </c>
      <c r="E283" s="13" t="n">
        <v>-0.11799106601644</v>
      </c>
      <c r="F283" s="13" t="n">
        <v>-0.0821080714606232</v>
      </c>
      <c r="G283" s="13" t="n">
        <v>0.0253417812722521</v>
      </c>
      <c r="H283" s="13" t="n">
        <v>-0.0364633323571119</v>
      </c>
      <c r="I283" s="13" t="n">
        <v>0.02288298057496</v>
      </c>
      <c r="J283" s="13" t="n">
        <v>-0.144792558351027</v>
      </c>
      <c r="K283" s="13" t="n">
        <v>0.0971481343051099</v>
      </c>
    </row>
    <row r="284" customFormat="false" ht="15" hidden="false" customHeight="false" outlineLevel="0" collapsed="false">
      <c r="A284" s="12" t="n">
        <v>1986</v>
      </c>
      <c r="B284" s="12" t="n">
        <v>7</v>
      </c>
      <c r="C284" s="13" t="n">
        <v>0.642106451612903</v>
      </c>
      <c r="D284" s="13" t="n">
        <v>0.538838386965502</v>
      </c>
      <c r="E284" s="13" t="n">
        <v>0.103268064647402</v>
      </c>
      <c r="F284" s="13" t="n">
        <v>0.0897023604274672</v>
      </c>
      <c r="G284" s="13" t="n">
        <v>0.0835205428317155</v>
      </c>
      <c r="H284" s="13" t="n">
        <v>-0.0101713074973428</v>
      </c>
      <c r="I284" s="13" t="n">
        <v>0.0241755510615345</v>
      </c>
      <c r="J284" s="13" t="n">
        <v>-0.153395507609521</v>
      </c>
      <c r="K284" s="13" t="n">
        <v>0.0694364254335481</v>
      </c>
    </row>
    <row r="285" customFormat="false" ht="15" hidden="false" customHeight="false" outlineLevel="0" collapsed="false">
      <c r="A285" s="12" t="n">
        <v>1986</v>
      </c>
      <c r="B285" s="12" t="n">
        <v>8</v>
      </c>
      <c r="C285" s="13" t="n">
        <v>0.659793548387097</v>
      </c>
      <c r="D285" s="13" t="n">
        <v>0.746760475863709</v>
      </c>
      <c r="E285" s="13" t="n">
        <v>-0.0869669274766122</v>
      </c>
      <c r="F285" s="13" t="n">
        <v>-0.124607522072312</v>
      </c>
      <c r="G285" s="13" t="n">
        <v>0.0934258463307396</v>
      </c>
      <c r="H285" s="13" t="n">
        <v>0.018595933354863</v>
      </c>
      <c r="I285" s="13" t="n">
        <v>0.0230396213052537</v>
      </c>
      <c r="J285" s="13" t="n">
        <v>-0.157566552527463</v>
      </c>
      <c r="K285" s="13" t="n">
        <v>0.060145746132306</v>
      </c>
    </row>
    <row r="286" customFormat="false" ht="15" hidden="false" customHeight="false" outlineLevel="0" collapsed="false">
      <c r="A286" s="12" t="n">
        <v>1986</v>
      </c>
      <c r="B286" s="12" t="n">
        <v>9</v>
      </c>
      <c r="C286" s="13" t="n">
        <v>1.19414</v>
      </c>
      <c r="D286" s="13" t="n">
        <v>1.17285152891611</v>
      </c>
      <c r="E286" s="13" t="n">
        <v>0.0212884710838918</v>
      </c>
      <c r="F286" s="13" t="n">
        <v>0.00167025078267885</v>
      </c>
      <c r="G286" s="13" t="n">
        <v>0.0514245261411598</v>
      </c>
      <c r="H286" s="13" t="n">
        <v>0.0436162872625533</v>
      </c>
      <c r="I286" s="13" t="n">
        <v>0.0196257590781352</v>
      </c>
      <c r="J286" s="13" t="n">
        <v>-0.157152375427292</v>
      </c>
      <c r="K286" s="13" t="n">
        <v>0.0621040232466567</v>
      </c>
    </row>
    <row r="287" customFormat="false" ht="15" hidden="false" customHeight="false" outlineLevel="0" collapsed="false">
      <c r="A287" s="12" t="n">
        <v>1986</v>
      </c>
      <c r="B287" s="12" t="n">
        <v>10</v>
      </c>
      <c r="C287" s="13" t="n">
        <v>1.66007419354839</v>
      </c>
      <c r="D287" s="13" t="n">
        <v>1.52085374462555</v>
      </c>
      <c r="E287" s="13" t="n">
        <v>0.139220448922835</v>
      </c>
      <c r="F287" s="13" t="n">
        <v>0.175605398104408</v>
      </c>
      <c r="G287" s="13" t="n">
        <v>-0.0154760249534718</v>
      </c>
      <c r="H287" s="13" t="n">
        <v>0.0594934286261563</v>
      </c>
      <c r="I287" s="13" t="n">
        <v>0.014295843686172</v>
      </c>
      <c r="J287" s="13" t="n">
        <v>-0.152244322422071</v>
      </c>
      <c r="K287" s="13" t="n">
        <v>0.057546125881641</v>
      </c>
    </row>
    <row r="288" customFormat="false" ht="15" hidden="false" customHeight="false" outlineLevel="0" collapsed="false">
      <c r="A288" s="12" t="n">
        <v>1986</v>
      </c>
      <c r="B288" s="12" t="n">
        <v>11</v>
      </c>
      <c r="C288" s="13" t="n">
        <v>1.42439333333333</v>
      </c>
      <c r="D288" s="13" t="n">
        <v>1.59380304667202</v>
      </c>
      <c r="E288" s="13" t="n">
        <v>-0.169409713338689</v>
      </c>
      <c r="F288" s="13" t="n">
        <v>-0.0712656071959337</v>
      </c>
      <c r="G288" s="13" t="n">
        <v>-0.0651063289103099</v>
      </c>
      <c r="H288" s="13" t="n">
        <v>0.0628328411884917</v>
      </c>
      <c r="I288" s="13" t="n">
        <v>0.0075864471942004</v>
      </c>
      <c r="J288" s="13" t="n">
        <v>-0.14317238103697</v>
      </c>
      <c r="K288" s="13" t="n">
        <v>0.0397153154218316</v>
      </c>
    </row>
    <row r="289" customFormat="false" ht="15" hidden="false" customHeight="false" outlineLevel="0" collapsed="false">
      <c r="A289" s="12" t="n">
        <v>1986</v>
      </c>
      <c r="B289" s="12" t="n">
        <v>12</v>
      </c>
      <c r="C289" s="13" t="n">
        <v>1.2459</v>
      </c>
      <c r="D289" s="13" t="n">
        <v>1.44270073650351</v>
      </c>
      <c r="E289" s="13" t="n">
        <v>-0.196800736503505</v>
      </c>
      <c r="F289" s="13" t="n">
        <v>-0.0726229747863754</v>
      </c>
      <c r="G289" s="13" t="n">
        <v>-0.0672768103665252</v>
      </c>
      <c r="H289" s="13" t="n">
        <v>0.0529646854550406</v>
      </c>
      <c r="I289" s="13" t="n">
        <v>0.000157155584005374</v>
      </c>
      <c r="J289" s="13" t="n">
        <v>-0.130488587558063</v>
      </c>
      <c r="K289" s="13" t="n">
        <v>0.0204657951684125</v>
      </c>
    </row>
    <row r="290" customFormat="false" ht="15" hidden="false" customHeight="false" outlineLevel="0" collapsed="false">
      <c r="A290" s="12" t="n">
        <v>1987</v>
      </c>
      <c r="B290" s="12" t="n">
        <v>1</v>
      </c>
      <c r="C290" s="13" t="n">
        <v>1.24558064516129</v>
      </c>
      <c r="D290" s="13" t="n">
        <v>1.42105153203575</v>
      </c>
      <c r="E290" s="13" t="n">
        <v>-0.175470886874457</v>
      </c>
      <c r="F290" s="13" t="n">
        <v>-0.0727430452441963</v>
      </c>
      <c r="G290" s="13" t="n">
        <v>-0.0249712512045303</v>
      </c>
      <c r="H290" s="13" t="n">
        <v>0.0320580591961618</v>
      </c>
      <c r="I290" s="13" t="n">
        <v>-0.00727133715715692</v>
      </c>
      <c r="J290" s="13" t="n">
        <v>-0.11494069747601</v>
      </c>
      <c r="K290" s="13" t="n">
        <v>0.0123973850112747</v>
      </c>
    </row>
    <row r="291" customFormat="false" ht="15" hidden="false" customHeight="false" outlineLevel="0" collapsed="false">
      <c r="A291" s="12" t="n">
        <v>1987</v>
      </c>
      <c r="B291" s="12" t="n">
        <v>2</v>
      </c>
      <c r="C291" s="13" t="n">
        <v>1.5943</v>
      </c>
      <c r="D291" s="13" t="n">
        <v>1.58346937501831</v>
      </c>
      <c r="E291" s="13" t="n">
        <v>0.01083062498169</v>
      </c>
      <c r="F291" s="13" t="n">
        <v>0.0786113895923657</v>
      </c>
      <c r="G291" s="13" t="n">
        <v>0.0275636720139183</v>
      </c>
      <c r="H291" s="13" t="n">
        <v>0.00461046334209091</v>
      </c>
      <c r="I291" s="13" t="n">
        <v>-0.013983742459346</v>
      </c>
      <c r="J291" s="13" t="n">
        <v>-0.0974370816775478</v>
      </c>
      <c r="K291" s="13" t="n">
        <v>0.0114659241702089</v>
      </c>
    </row>
    <row r="292" customFormat="false" ht="15" hidden="false" customHeight="false" outlineLevel="0" collapsed="false">
      <c r="A292" s="12" t="n">
        <v>1987</v>
      </c>
      <c r="B292" s="12" t="n">
        <v>3</v>
      </c>
      <c r="C292" s="13" t="n">
        <v>1.84283548387097</v>
      </c>
      <c r="D292" s="13" t="n">
        <v>1.74565927133073</v>
      </c>
      <c r="E292" s="13" t="n">
        <v>0.0971762125402339</v>
      </c>
      <c r="F292" s="13" t="n">
        <v>0.162604400028407</v>
      </c>
      <c r="G292" s="13" t="n">
        <v>0.0507353033070243</v>
      </c>
      <c r="H292" s="13" t="n">
        <v>-0.0235631412404426</v>
      </c>
      <c r="I292" s="13" t="n">
        <v>-0.0193353892919894</v>
      </c>
      <c r="J292" s="13" t="n">
        <v>-0.0790040830363223</v>
      </c>
      <c r="K292" s="13" t="n">
        <v>0.00573912277355651</v>
      </c>
    </row>
    <row r="293" customFormat="false" ht="15" hidden="false" customHeight="false" outlineLevel="0" collapsed="false">
      <c r="A293" s="12" t="n">
        <v>1987</v>
      </c>
      <c r="B293" s="12" t="n">
        <v>4</v>
      </c>
      <c r="C293" s="13" t="n">
        <v>1.61658333333333</v>
      </c>
      <c r="D293" s="13" t="n">
        <v>1.83220850639444</v>
      </c>
      <c r="E293" s="13" t="n">
        <v>-0.215625173061105</v>
      </c>
      <c r="F293" s="13" t="n">
        <v>-0.110634778113715</v>
      </c>
      <c r="G293" s="13" t="n">
        <v>0.0300274790444896</v>
      </c>
      <c r="H293" s="13" t="n">
        <v>-0.0466075954409552</v>
      </c>
      <c r="I293" s="13" t="n">
        <v>-0.022810445438378</v>
      </c>
      <c r="J293" s="13" t="n">
        <v>-0.0607374305905512</v>
      </c>
      <c r="K293" s="13" t="n">
        <v>-0.0048624025219953</v>
      </c>
    </row>
    <row r="294" customFormat="false" ht="15" hidden="false" customHeight="false" outlineLevel="0" collapsed="false">
      <c r="A294" s="12" t="n">
        <v>1987</v>
      </c>
      <c r="B294" s="12" t="n">
        <v>5</v>
      </c>
      <c r="C294" s="13" t="n">
        <v>1.33666451612903</v>
      </c>
      <c r="D294" s="13" t="n">
        <v>1.60391502017599</v>
      </c>
      <c r="E294" s="13" t="n">
        <v>-0.267250504046962</v>
      </c>
      <c r="F294" s="13" t="n">
        <v>-0.115782927262133</v>
      </c>
      <c r="G294" s="13" t="n">
        <v>-0.0138468052239209</v>
      </c>
      <c r="H294" s="13" t="n">
        <v>-0.0598825892372695</v>
      </c>
      <c r="I294" s="13" t="n">
        <v>-0.0240681546062147</v>
      </c>
      <c r="J294" s="13" t="n">
        <v>-0.0437495910378206</v>
      </c>
      <c r="K294" s="13" t="n">
        <v>-0.00992043667960352</v>
      </c>
    </row>
    <row r="295" customFormat="false" ht="15" hidden="false" customHeight="false" outlineLevel="0" collapsed="false">
      <c r="A295" s="12" t="n">
        <v>1987</v>
      </c>
      <c r="B295" s="12" t="n">
        <v>6</v>
      </c>
      <c r="C295" s="13" t="n">
        <v>0.960573333333333</v>
      </c>
      <c r="D295" s="13" t="n">
        <v>1.04247427792438</v>
      </c>
      <c r="E295" s="13" t="n">
        <v>-0.0819009445910411</v>
      </c>
      <c r="F295" s="13" t="n">
        <v>0.0825562607857066</v>
      </c>
      <c r="G295" s="13" t="n">
        <v>-0.0432737026570277</v>
      </c>
      <c r="H295" s="13" t="n">
        <v>-0.0609190097960331</v>
      </c>
      <c r="I295" s="13" t="n">
        <v>-0.0229731993017751</v>
      </c>
      <c r="J295" s="13" t="n">
        <v>-0.0291150720155217</v>
      </c>
      <c r="K295" s="13" t="n">
        <v>-0.0081762216063901</v>
      </c>
    </row>
    <row r="296" customFormat="false" ht="15" hidden="false" customHeight="false" outlineLevel="0" collapsed="false">
      <c r="A296" s="12" t="n">
        <v>1987</v>
      </c>
      <c r="B296" s="12" t="n">
        <v>7</v>
      </c>
      <c r="C296" s="13" t="n">
        <v>0.613170967741936</v>
      </c>
      <c r="D296" s="13" t="n">
        <v>0.723667946952507</v>
      </c>
      <c r="E296" s="13" t="n">
        <v>-0.110496979210571</v>
      </c>
      <c r="F296" s="13" t="n">
        <v>0.0245610585343755</v>
      </c>
      <c r="G296" s="13" t="n">
        <v>-0.0347744046856021</v>
      </c>
      <c r="H296" s="13" t="n">
        <v>-0.0498744231807168</v>
      </c>
      <c r="I296" s="13" t="n">
        <v>-0.0196077084992462</v>
      </c>
      <c r="J296" s="13" t="n">
        <v>-0.0178158004988104</v>
      </c>
      <c r="K296" s="13" t="n">
        <v>-0.0129857008805711</v>
      </c>
    </row>
    <row r="297" customFormat="false" ht="15" hidden="false" customHeight="false" outlineLevel="0" collapsed="false">
      <c r="A297" s="12" t="n">
        <v>1987</v>
      </c>
      <c r="B297" s="12" t="n">
        <v>8</v>
      </c>
      <c r="C297" s="13" t="n">
        <v>0.840148387096774</v>
      </c>
      <c r="D297" s="13" t="n">
        <v>0.931714811878425</v>
      </c>
      <c r="E297" s="13" t="n">
        <v>-0.0915664247816506</v>
      </c>
      <c r="F297" s="13" t="n">
        <v>-0.00602781903875641</v>
      </c>
      <c r="G297" s="13" t="n">
        <v>0.00293196976729505</v>
      </c>
      <c r="H297" s="13" t="n">
        <v>-0.0294036525122667</v>
      </c>
      <c r="I297" s="13" t="n">
        <v>-0.0142640208623888</v>
      </c>
      <c r="J297" s="13" t="n">
        <v>-0.0106889090048532</v>
      </c>
      <c r="K297" s="13" t="n">
        <v>-0.0341139931306805</v>
      </c>
    </row>
    <row r="298" customFormat="false" ht="15" hidden="false" customHeight="false" outlineLevel="0" collapsed="false">
      <c r="A298" s="12" t="n">
        <v>1987</v>
      </c>
      <c r="B298" s="12" t="n">
        <v>9</v>
      </c>
      <c r="C298" s="13" t="n">
        <v>1.30837333333333</v>
      </c>
      <c r="D298" s="13" t="n">
        <v>1.35765178054986</v>
      </c>
      <c r="E298" s="13" t="n">
        <v>-0.0492784472165311</v>
      </c>
      <c r="F298" s="13" t="n">
        <v>-0.00417704897695132</v>
      </c>
      <c r="G298" s="13" t="n">
        <v>0.0376280386612703</v>
      </c>
      <c r="H298" s="13" t="n">
        <v>-0.00399414843492476</v>
      </c>
      <c r="I298" s="13" t="n">
        <v>-0.00741895382552453</v>
      </c>
      <c r="J298" s="13" t="n">
        <v>-0.00837951657565822</v>
      </c>
      <c r="K298" s="13" t="n">
        <v>-0.0629368180647426</v>
      </c>
    </row>
    <row r="299" customFormat="false" ht="15" hidden="false" customHeight="false" outlineLevel="0" collapsed="false">
      <c r="A299" s="12" t="n">
        <v>1987</v>
      </c>
      <c r="B299" s="12" t="n">
        <v>10</v>
      </c>
      <c r="C299" s="13" t="n">
        <v>1.63464516129032</v>
      </c>
      <c r="D299" s="13" t="n">
        <v>1.70522773639071</v>
      </c>
      <c r="E299" s="13" t="n">
        <v>-0.0705825751003914</v>
      </c>
      <c r="F299" s="13" t="n">
        <v>-0.0395876901665073</v>
      </c>
      <c r="G299" s="13" t="n">
        <v>0.0407205499549075</v>
      </c>
      <c r="H299" s="13" t="n">
        <v>0.0210659860344157</v>
      </c>
      <c r="I299" s="13" t="n">
        <v>0.000308118804587911</v>
      </c>
      <c r="J299" s="13" t="n">
        <v>-0.0113012200849204</v>
      </c>
      <c r="K299" s="13" t="n">
        <v>-0.0817883196428748</v>
      </c>
    </row>
    <row r="300" customFormat="false" ht="15" hidden="false" customHeight="false" outlineLevel="0" collapsed="false">
      <c r="A300" s="12" t="n">
        <v>1987</v>
      </c>
      <c r="B300" s="12" t="n">
        <v>11</v>
      </c>
      <c r="C300" s="13" t="n">
        <v>1.76732333333333</v>
      </c>
      <c r="D300" s="13" t="n">
        <v>1.77748590187855</v>
      </c>
      <c r="E300" s="13" t="n">
        <v>-0.0101625685452122</v>
      </c>
      <c r="F300" s="13" t="n">
        <v>0.0338083882868579</v>
      </c>
      <c r="G300" s="13" t="n">
        <v>0.0104702957063941</v>
      </c>
      <c r="H300" s="13" t="n">
        <v>0.0408435704195321</v>
      </c>
      <c r="I300" s="13" t="n">
        <v>0.00820973712411189</v>
      </c>
      <c r="J300" s="13" t="n">
        <v>-0.019606900529098</v>
      </c>
      <c r="K300" s="13" t="n">
        <v>-0.0838876595530101</v>
      </c>
    </row>
    <row r="301" customFormat="false" ht="15" hidden="false" customHeight="false" outlineLevel="0" collapsed="false">
      <c r="A301" s="12" t="n">
        <v>1987</v>
      </c>
      <c r="B301" s="12" t="n">
        <v>12</v>
      </c>
      <c r="C301" s="13" t="n">
        <v>1.62286451612903</v>
      </c>
      <c r="D301" s="13" t="n">
        <v>1.62543546334487</v>
      </c>
      <c r="E301" s="13" t="n">
        <v>-0.00257094721583337</v>
      </c>
      <c r="F301" s="13" t="n">
        <v>0.0693831855816361</v>
      </c>
      <c r="G301" s="13" t="n">
        <v>-0.0269511771762601</v>
      </c>
      <c r="H301" s="13" t="n">
        <v>0.0517782730866454</v>
      </c>
      <c r="I301" s="13" t="n">
        <v>0.0155527040586754</v>
      </c>
      <c r="J301" s="13" t="n">
        <v>-0.0331720794188568</v>
      </c>
      <c r="K301" s="13" t="n">
        <v>-0.0791618533476735</v>
      </c>
    </row>
    <row r="302" customFormat="false" ht="15" hidden="false" customHeight="false" outlineLevel="0" collapsed="false">
      <c r="A302" s="12" t="n">
        <v>1988</v>
      </c>
      <c r="B302" s="12" t="n">
        <v>1</v>
      </c>
      <c r="C302" s="13" t="n">
        <v>1.35640322580645</v>
      </c>
      <c r="D302" s="13" t="n">
        <v>1.60258958021086</v>
      </c>
      <c r="E302" s="13" t="n">
        <v>-0.246186354404409</v>
      </c>
      <c r="F302" s="13" t="n">
        <v>-0.147187933042079</v>
      </c>
      <c r="G302" s="13" t="n">
        <v>-0.0391364837550117</v>
      </c>
      <c r="H302" s="13" t="n">
        <v>0.0523445310165987</v>
      </c>
      <c r="I302" s="13" t="n">
        <v>0.0216430096720689</v>
      </c>
      <c r="J302" s="13" t="n">
        <v>-0.0515924488377707</v>
      </c>
      <c r="K302" s="13" t="n">
        <v>-0.0822570294582156</v>
      </c>
    </row>
    <row r="303" customFormat="false" ht="15" hidden="false" customHeight="false" outlineLevel="0" collapsed="false">
      <c r="A303" s="12" t="n">
        <v>1988</v>
      </c>
      <c r="B303" s="12" t="n">
        <v>2</v>
      </c>
      <c r="C303" s="13" t="n">
        <v>1.76014482758621</v>
      </c>
      <c r="D303" s="13" t="n">
        <v>1.76357116133653</v>
      </c>
      <c r="E303" s="13" t="n">
        <v>-0.00342633375031903</v>
      </c>
      <c r="F303" s="13" t="n">
        <v>0.11468273945043</v>
      </c>
      <c r="G303" s="13" t="n">
        <v>-0.0146192915641639</v>
      </c>
      <c r="H303" s="13" t="n">
        <v>0.0432302461699121</v>
      </c>
      <c r="I303" s="13" t="n">
        <v>0.0258878289342346</v>
      </c>
      <c r="J303" s="13" t="n">
        <v>-0.0741963819135653</v>
      </c>
      <c r="K303" s="13" t="n">
        <v>-0.0984114748271666</v>
      </c>
    </row>
    <row r="304" customFormat="false" ht="15" hidden="false" customHeight="false" outlineLevel="0" collapsed="false">
      <c r="A304" s="12" t="n">
        <v>1988</v>
      </c>
      <c r="B304" s="12" t="n">
        <v>3</v>
      </c>
      <c r="C304" s="13" t="n">
        <v>1.71484193548387</v>
      </c>
      <c r="D304" s="13" t="n">
        <v>1.9240946728458</v>
      </c>
      <c r="E304" s="13" t="n">
        <v>-0.209252737361929</v>
      </c>
      <c r="F304" s="13" t="n">
        <v>-0.0704044431993648</v>
      </c>
      <c r="G304" s="13" t="n">
        <v>0.0263594951937104</v>
      </c>
      <c r="H304" s="13" t="n">
        <v>0.0270214013465019</v>
      </c>
      <c r="I304" s="13" t="n">
        <v>0.0278493369879037</v>
      </c>
      <c r="J304" s="13" t="n">
        <v>-0.100072288234124</v>
      </c>
      <c r="K304" s="13" t="n">
        <v>-0.120006239456556</v>
      </c>
    </row>
    <row r="305" customFormat="false" ht="15" hidden="false" customHeight="false" outlineLevel="0" collapsed="false">
      <c r="A305" s="12" t="n">
        <v>1988</v>
      </c>
      <c r="B305" s="12" t="n">
        <v>4</v>
      </c>
      <c r="C305" s="13" t="n">
        <v>1.85735666666667</v>
      </c>
      <c r="D305" s="13" t="n">
        <v>2.00875731971517</v>
      </c>
      <c r="E305" s="13" t="n">
        <v>-0.151400653048504</v>
      </c>
      <c r="F305" s="13" t="n">
        <v>0.0287946351873595</v>
      </c>
      <c r="G305" s="13" t="n">
        <v>0.0471381806847751</v>
      </c>
      <c r="H305" s="13" t="n">
        <v>0.00749516134282393</v>
      </c>
      <c r="I305" s="13" t="n">
        <v>0.0272857517903353</v>
      </c>
      <c r="J305" s="13" t="n">
        <v>-0.12810971453163</v>
      </c>
      <c r="K305" s="13" t="n">
        <v>-0.134004667522167</v>
      </c>
    </row>
    <row r="306" customFormat="false" ht="15" hidden="false" customHeight="false" outlineLevel="0" collapsed="false">
      <c r="A306" s="12" t="n">
        <v>1988</v>
      </c>
      <c r="B306" s="12" t="n">
        <v>5</v>
      </c>
      <c r="C306" s="13" t="n">
        <v>1.56408387096774</v>
      </c>
      <c r="D306" s="13" t="n">
        <v>1.77836738570999</v>
      </c>
      <c r="E306" s="13" t="n">
        <v>-0.214283514742251</v>
      </c>
      <c r="F306" s="13" t="n">
        <v>0.0380892783860349</v>
      </c>
      <c r="G306" s="13" t="n">
        <v>0.0250282998313454</v>
      </c>
      <c r="H306" s="13" t="n">
        <v>-0.0112919392627786</v>
      </c>
      <c r="I306" s="13" t="n">
        <v>0.0241760440793825</v>
      </c>
      <c r="J306" s="13" t="n">
        <v>-0.157052176441922</v>
      </c>
      <c r="K306" s="13" t="n">
        <v>-0.133233021334313</v>
      </c>
    </row>
    <row r="307" customFormat="false" ht="15" hidden="false" customHeight="false" outlineLevel="0" collapsed="false">
      <c r="A307" s="12" t="n">
        <v>1988</v>
      </c>
      <c r="B307" s="12" t="n">
        <v>6</v>
      </c>
      <c r="C307" s="13" t="n">
        <v>0.812393333333333</v>
      </c>
      <c r="D307" s="13" t="n">
        <v>1.21463106793642</v>
      </c>
      <c r="E307" s="13" t="n">
        <v>-0.402237734603082</v>
      </c>
      <c r="F307" s="13" t="n">
        <v>-0.0593769982422921</v>
      </c>
      <c r="G307" s="13" t="n">
        <v>-0.0273511652161393</v>
      </c>
      <c r="H307" s="13" t="n">
        <v>-0.025898009106384</v>
      </c>
      <c r="I307" s="13" t="n">
        <v>0.0187260673792396</v>
      </c>
      <c r="J307" s="13" t="n">
        <v>-0.185558879334941</v>
      </c>
      <c r="K307" s="13" t="n">
        <v>-0.122778750082566</v>
      </c>
    </row>
    <row r="308" customFormat="false" ht="15" hidden="false" customHeight="false" outlineLevel="0" collapsed="false">
      <c r="A308" s="12" t="n">
        <v>1988</v>
      </c>
      <c r="B308" s="12" t="n">
        <v>7</v>
      </c>
      <c r="C308" s="13" t="n">
        <v>0.513606451612903</v>
      </c>
      <c r="D308" s="13" t="n">
        <v>0.893341116409118</v>
      </c>
      <c r="E308" s="13" t="n">
        <v>-0.379734664796214</v>
      </c>
      <c r="F308" s="13" t="n">
        <v>0.0395512617108339</v>
      </c>
      <c r="G308" s="13" t="n">
        <v>-0.0685957638610287</v>
      </c>
      <c r="H308" s="13" t="n">
        <v>-0.0341676053259341</v>
      </c>
      <c r="I308" s="13" t="n">
        <v>0.0113553551791613</v>
      </c>
      <c r="J308" s="13" t="n">
        <v>-0.212271800279872</v>
      </c>
      <c r="K308" s="13" t="n">
        <v>-0.115606112219375</v>
      </c>
    </row>
    <row r="309" customFormat="false" ht="15" hidden="false" customHeight="false" outlineLevel="0" collapsed="false">
      <c r="A309" s="12" t="n">
        <v>1988</v>
      </c>
      <c r="B309" s="12" t="n">
        <v>8</v>
      </c>
      <c r="C309" s="13" t="n">
        <v>0.680641935483871</v>
      </c>
      <c r="D309" s="13" t="n">
        <v>1.0987277112209</v>
      </c>
      <c r="E309" s="13" t="n">
        <v>-0.418085775737029</v>
      </c>
      <c r="F309" s="13" t="n">
        <v>0.031515104806242</v>
      </c>
      <c r="G309" s="13" t="n">
        <v>-0.0603331904772114</v>
      </c>
      <c r="H309" s="13" t="n">
        <v>-0.035542919354445</v>
      </c>
      <c r="I309" s="13" t="n">
        <v>0.00266539533055885</v>
      </c>
      <c r="J309" s="13" t="n">
        <v>-0.235884154042752</v>
      </c>
      <c r="K309" s="13" t="n">
        <v>-0.120506011999422</v>
      </c>
    </row>
    <row r="310" customFormat="false" ht="15" hidden="false" customHeight="false" outlineLevel="0" collapsed="false">
      <c r="A310" s="12" t="n">
        <v>1988</v>
      </c>
      <c r="B310" s="12" t="n">
        <v>9</v>
      </c>
      <c r="C310" s="13" t="n">
        <v>0.994903333333333</v>
      </c>
      <c r="D310" s="13" t="n">
        <v>1.52183942959966</v>
      </c>
      <c r="E310" s="13" t="n">
        <v>-0.526936096266322</v>
      </c>
      <c r="F310" s="13" t="n">
        <v>-0.0994733017404187</v>
      </c>
      <c r="G310" s="13" t="n">
        <v>-0.000330420651406138</v>
      </c>
      <c r="H310" s="13" t="n">
        <v>-0.0309716716271974</v>
      </c>
      <c r="I310" s="13" t="n">
        <v>-0.00660829427753246</v>
      </c>
      <c r="J310" s="13" t="n">
        <v>-0.255206147028744</v>
      </c>
      <c r="K310" s="13" t="n">
        <v>-0.134346260941024</v>
      </c>
    </row>
    <row r="311" customFormat="false" ht="15" hidden="false" customHeight="false" outlineLevel="0" collapsed="false">
      <c r="A311" s="12" t="n">
        <v>1988</v>
      </c>
      <c r="B311" s="12" t="n">
        <v>10</v>
      </c>
      <c r="C311" s="13" t="n">
        <v>1.46499677419355</v>
      </c>
      <c r="D311" s="13" t="n">
        <v>1.86643705875419</v>
      </c>
      <c r="E311" s="13" t="n">
        <v>-0.401440284560644</v>
      </c>
      <c r="F311" s="13" t="n">
        <v>-0.018339756922506</v>
      </c>
      <c r="G311" s="13" t="n">
        <v>0.0708380412319756</v>
      </c>
      <c r="H311" s="13" t="n">
        <v>-0.0224699780070811</v>
      </c>
      <c r="I311" s="13" t="n">
        <v>-0.0156566133672068</v>
      </c>
      <c r="J311" s="13" t="n">
        <v>-0.269224168603387</v>
      </c>
      <c r="K311" s="13" t="n">
        <v>-0.146587808892438</v>
      </c>
    </row>
    <row r="312" customFormat="false" ht="15" hidden="false" customHeight="false" outlineLevel="0" collapsed="false">
      <c r="A312" s="12" t="n">
        <v>1988</v>
      </c>
      <c r="B312" s="12" t="n">
        <v>11</v>
      </c>
      <c r="C312" s="13" t="n">
        <v>1.70457666666667</v>
      </c>
      <c r="D312" s="13" t="n">
        <v>1.93557591935389</v>
      </c>
      <c r="E312" s="13" t="n">
        <v>-0.230999252687226</v>
      </c>
      <c r="F312" s="13" t="n">
        <v>0.133448918991964</v>
      </c>
      <c r="G312" s="13" t="n">
        <v>0.0980911471659939</v>
      </c>
      <c r="H312" s="13" t="n">
        <v>-0.0124795677716107</v>
      </c>
      <c r="I312" s="13" t="n">
        <v>-0.0236650890152149</v>
      </c>
      <c r="J312" s="13" t="n">
        <v>-0.277150132809083</v>
      </c>
      <c r="K312" s="13" t="n">
        <v>-0.149244529249276</v>
      </c>
    </row>
    <row r="313" customFormat="false" ht="15" hidden="false" customHeight="false" outlineLevel="0" collapsed="false">
      <c r="A313" s="12" t="n">
        <v>1988</v>
      </c>
      <c r="B313" s="12" t="n">
        <v>12</v>
      </c>
      <c r="C313" s="13" t="n">
        <v>1.35649032258065</v>
      </c>
      <c r="D313" s="13" t="n">
        <v>1.78027744991851</v>
      </c>
      <c r="E313" s="13" t="n">
        <v>-0.423787127337866</v>
      </c>
      <c r="F313" s="13" t="n">
        <v>-0.0263778714030771</v>
      </c>
      <c r="G313" s="13" t="n">
        <v>0.0551175918968165</v>
      </c>
      <c r="H313" s="13" t="n">
        <v>-0.0032007075976165</v>
      </c>
      <c r="I313" s="13" t="n">
        <v>-0.0298843512907783</v>
      </c>
      <c r="J313" s="13" t="n">
        <v>-0.27845845142004</v>
      </c>
      <c r="K313" s="13" t="n">
        <v>-0.140983337523171</v>
      </c>
    </row>
    <row r="314" customFormat="false" ht="15" hidden="false" customHeight="false" outlineLevel="0" collapsed="false">
      <c r="A314" s="12" t="n">
        <v>1989</v>
      </c>
      <c r="B314" s="12" t="n">
        <v>1</v>
      </c>
      <c r="C314" s="13" t="n">
        <v>1.239</v>
      </c>
      <c r="D314" s="13" t="n">
        <v>1.75406717540675</v>
      </c>
      <c r="E314" s="13" t="n">
        <v>-0.51506717540675</v>
      </c>
      <c r="F314" s="13" t="n">
        <v>-0.0552172966067565</v>
      </c>
      <c r="G314" s="13" t="n">
        <v>-0.031842860928952</v>
      </c>
      <c r="H314" s="13" t="n">
        <v>0.0039239694263651</v>
      </c>
      <c r="I314" s="13" t="n">
        <v>-0.0336970568520176</v>
      </c>
      <c r="J314" s="13" t="n">
        <v>-0.272908939913068</v>
      </c>
      <c r="K314" s="13" t="n">
        <v>-0.125324990532321</v>
      </c>
    </row>
    <row r="315" customFormat="false" ht="15" hidden="false" customHeight="false" outlineLevel="0" collapsed="false">
      <c r="A315" s="12" t="n">
        <v>1989</v>
      </c>
      <c r="B315" s="12" t="n">
        <v>2</v>
      </c>
      <c r="C315" s="13" t="n">
        <v>1.45492857142857</v>
      </c>
      <c r="D315" s="13" t="n">
        <v>1.91158044278685</v>
      </c>
      <c r="E315" s="13" t="n">
        <v>-0.45665187135828</v>
      </c>
      <c r="F315" s="13" t="n">
        <v>0.0396421126847706</v>
      </c>
      <c r="G315" s="13" t="n">
        <v>-0.10075270842499</v>
      </c>
      <c r="H315" s="13" t="n">
        <v>0.00845043929937342</v>
      </c>
      <c r="I315" s="13" t="n">
        <v>-0.0346755691487739</v>
      </c>
      <c r="J315" s="13" t="n">
        <v>-0.260554721208623</v>
      </c>
      <c r="K315" s="13" t="n">
        <v>-0.108761424560037</v>
      </c>
    </row>
    <row r="316" customFormat="false" ht="15" hidden="false" customHeight="false" outlineLevel="0" collapsed="false">
      <c r="A316" s="12" t="n">
        <v>1989</v>
      </c>
      <c r="B316" s="12" t="n">
        <v>3</v>
      </c>
      <c r="C316" s="13" t="n">
        <v>1.58586129032258</v>
      </c>
      <c r="D316" s="13" t="n">
        <v>2.06854418808611</v>
      </c>
      <c r="E316" s="13" t="n">
        <v>-0.48268289776353</v>
      </c>
      <c r="F316" s="13" t="n">
        <v>-0.0205879285664563</v>
      </c>
      <c r="G316" s="13" t="n">
        <v>-0.100002419924807</v>
      </c>
      <c r="H316" s="13" t="n">
        <v>0.0108557967055239</v>
      </c>
      <c r="I316" s="13" t="n">
        <v>-0.0326252835396999</v>
      </c>
      <c r="J316" s="13" t="n">
        <v>-0.241734921133202</v>
      </c>
      <c r="K316" s="13" t="n">
        <v>-0.0985881413048892</v>
      </c>
    </row>
    <row r="317" customFormat="false" ht="15" hidden="false" customHeight="false" outlineLevel="0" collapsed="false">
      <c r="A317" s="12" t="n">
        <v>1989</v>
      </c>
      <c r="B317" s="12" t="n">
        <v>4</v>
      </c>
      <c r="C317" s="13" t="n">
        <v>1.71754333333333</v>
      </c>
      <c r="D317" s="13" t="n">
        <v>2.14956807733445</v>
      </c>
      <c r="E317" s="13" t="n">
        <v>-0.432024744001119</v>
      </c>
      <c r="F317" s="13" t="n">
        <v>-0.0724577127350012</v>
      </c>
      <c r="G317" s="13" t="n">
        <v>-0.0284313343792967</v>
      </c>
      <c r="H317" s="13" t="n">
        <v>0.0121882209803517</v>
      </c>
      <c r="I317" s="13" t="n">
        <v>-0.0276094910528909</v>
      </c>
      <c r="J317" s="13" t="n">
        <v>-0.217052755312597</v>
      </c>
      <c r="K317" s="13" t="n">
        <v>-0.0986616715016844</v>
      </c>
    </row>
    <row r="318" customFormat="false" ht="15" hidden="false" customHeight="false" outlineLevel="0" collapsed="false">
      <c r="A318" s="12" t="n">
        <v>1989</v>
      </c>
      <c r="B318" s="12" t="n">
        <v>5</v>
      </c>
      <c r="C318" s="13" t="n">
        <v>1.77480967741936</v>
      </c>
      <c r="D318" s="13" t="n">
        <v>1.91547280613093</v>
      </c>
      <c r="E318" s="13" t="n">
        <v>-0.140663128711576</v>
      </c>
      <c r="F318" s="13" t="n">
        <v>0.096436307337286</v>
      </c>
      <c r="G318" s="13" t="n">
        <v>0.0627079838134468</v>
      </c>
      <c r="H318" s="13" t="n">
        <v>0.0135642202698027</v>
      </c>
      <c r="I318" s="13" t="n">
        <v>-0.01995304613439</v>
      </c>
      <c r="J318" s="13" t="n">
        <v>-0.187340527853381</v>
      </c>
      <c r="K318" s="13" t="n">
        <v>-0.10607806614434</v>
      </c>
    </row>
    <row r="319" customFormat="false" ht="15" hidden="false" customHeight="false" outlineLevel="0" collapsed="false">
      <c r="A319" s="12" t="n">
        <v>1989</v>
      </c>
      <c r="B319" s="12" t="n">
        <v>6</v>
      </c>
      <c r="C319" s="13" t="n">
        <v>1.17815666666667</v>
      </c>
      <c r="D319" s="13" t="n">
        <v>1.34797689420782</v>
      </c>
      <c r="E319" s="13" t="n">
        <v>-0.169820227541156</v>
      </c>
      <c r="F319" s="13" t="n">
        <v>-0.0174903746204833</v>
      </c>
      <c r="G319" s="13" t="n">
        <v>0.1079320929014</v>
      </c>
      <c r="H319" s="13" t="n">
        <v>0.0156725820528008</v>
      </c>
      <c r="I319" s="13" t="n">
        <v>-0.01022375163178</v>
      </c>
      <c r="J319" s="13" t="n">
        <v>-0.153613988190191</v>
      </c>
      <c r="K319" s="13" t="n">
        <v>-0.112096788052903</v>
      </c>
    </row>
    <row r="320" customFormat="false" ht="15" hidden="false" customHeight="false" outlineLevel="0" collapsed="false">
      <c r="A320" s="12" t="n">
        <v>1989</v>
      </c>
      <c r="B320" s="12" t="n">
        <v>7</v>
      </c>
      <c r="C320" s="13" t="n">
        <v>0.9174</v>
      </c>
      <c r="D320" s="13" t="n">
        <v>1.02288528553428</v>
      </c>
      <c r="E320" s="13" t="n">
        <v>-0.105485285534281</v>
      </c>
      <c r="F320" s="13" t="n">
        <v>0.0235923155247274</v>
      </c>
      <c r="G320" s="13" t="n">
        <v>0.0763145600876003</v>
      </c>
      <c r="H320" s="13" t="n">
        <v>0.0184399191797626</v>
      </c>
      <c r="I320" s="13" t="n">
        <v>0.000807817505819074</v>
      </c>
      <c r="J320" s="13" t="n">
        <v>-0.11701922647134</v>
      </c>
      <c r="K320" s="13" t="n">
        <v>-0.10762067136085</v>
      </c>
    </row>
    <row r="321" customFormat="false" ht="15" hidden="false" customHeight="false" outlineLevel="0" collapsed="false">
      <c r="A321" s="12" t="n">
        <v>1989</v>
      </c>
      <c r="B321" s="12" t="n">
        <v>8</v>
      </c>
      <c r="C321" s="13" t="n">
        <v>1.09972258064516</v>
      </c>
      <c r="D321" s="13" t="n">
        <v>1.22444018666487</v>
      </c>
      <c r="E321" s="13" t="n">
        <v>-0.124717606019709</v>
      </c>
      <c r="F321" s="13" t="n">
        <v>0.0187595554611654</v>
      </c>
      <c r="G321" s="13" t="n">
        <v>-0.00661909768897406</v>
      </c>
      <c r="H321" s="13" t="n">
        <v>0.0209656026724274</v>
      </c>
      <c r="I321" s="13" t="n">
        <v>0.0122274971651355</v>
      </c>
      <c r="J321" s="13" t="n">
        <v>-0.0787756507502251</v>
      </c>
      <c r="K321" s="13" t="n">
        <v>-0.0912755128792377</v>
      </c>
    </row>
    <row r="322" customFormat="false" ht="15" hidden="false" customHeight="false" outlineLevel="0" collapsed="false">
      <c r="A322" s="12" t="n">
        <v>1989</v>
      </c>
      <c r="B322" s="12" t="n">
        <v>9</v>
      </c>
      <c r="C322" s="13" t="n">
        <v>1.36500666666667</v>
      </c>
      <c r="D322" s="13" t="n">
        <v>1.64370199574616</v>
      </c>
      <c r="E322" s="13" t="n">
        <v>-0.278695329079496</v>
      </c>
      <c r="F322" s="13" t="n">
        <v>-0.129621367199885</v>
      </c>
      <c r="G322" s="13" t="n">
        <v>-0.0797344937172343</v>
      </c>
      <c r="H322" s="13" t="n">
        <v>0.0217566850384229</v>
      </c>
      <c r="I322" s="13" t="n">
        <v>0.0230514570430768</v>
      </c>
      <c r="J322" s="13" t="n">
        <v>-0.0401185247825351</v>
      </c>
      <c r="K322" s="13" t="n">
        <v>-0.0740290854613407</v>
      </c>
    </row>
    <row r="323" customFormat="false" ht="15" hidden="false" customHeight="false" outlineLevel="0" collapsed="false">
      <c r="A323" s="12" t="n">
        <v>1989</v>
      </c>
      <c r="B323" s="12" t="n">
        <v>10</v>
      </c>
      <c r="C323" s="13" t="n">
        <v>1.91380967741936</v>
      </c>
      <c r="D323" s="13" t="n">
        <v>1.98444307820354</v>
      </c>
      <c r="E323" s="13" t="n">
        <v>-0.0706334007841876</v>
      </c>
      <c r="F323" s="13" t="n">
        <v>0.0445024180227651</v>
      </c>
      <c r="G323" s="13" t="n">
        <v>-0.0925079964981621</v>
      </c>
      <c r="H323" s="13" t="n">
        <v>0.0192063257724256</v>
      </c>
      <c r="I323" s="13" t="n">
        <v>0.0323091528320647</v>
      </c>
      <c r="J323" s="13" t="n">
        <v>-0.00224416291762852</v>
      </c>
      <c r="K323" s="13" t="n">
        <v>-0.0718991379956524</v>
      </c>
    </row>
    <row r="324" customFormat="false" ht="15" hidden="false" customHeight="false" outlineLevel="0" collapsed="false">
      <c r="A324" s="12" t="n">
        <v>1989</v>
      </c>
      <c r="B324" s="12" t="n">
        <v>11</v>
      </c>
      <c r="C324" s="13" t="n">
        <v>2.1286</v>
      </c>
      <c r="D324" s="13" t="n">
        <v>2.0497300540501</v>
      </c>
      <c r="E324" s="13" t="n">
        <v>0.0788699459498962</v>
      </c>
      <c r="F324" s="13" t="n">
        <v>0.12300546990244</v>
      </c>
      <c r="G324" s="13" t="n">
        <v>-0.0409363113385206</v>
      </c>
      <c r="H324" s="13" t="n">
        <v>0.012185165974225</v>
      </c>
      <c r="I324" s="13" t="n">
        <v>0.0391285557704253</v>
      </c>
      <c r="J324" s="13" t="n">
        <v>0.0337396252228319</v>
      </c>
      <c r="K324" s="13" t="n">
        <v>-0.0882525595815055</v>
      </c>
    </row>
    <row r="325" customFormat="false" ht="15" hidden="false" customHeight="false" outlineLevel="0" collapsed="false">
      <c r="A325" s="12" t="n">
        <v>1989</v>
      </c>
      <c r="B325" s="12" t="n">
        <v>12</v>
      </c>
      <c r="C325" s="13" t="n">
        <v>1.87287741935484</v>
      </c>
      <c r="D325" s="13" t="n">
        <v>1.89059534725127</v>
      </c>
      <c r="E325" s="13" t="n">
        <v>-0.0177179278964285</v>
      </c>
      <c r="F325" s="13" t="n">
        <v>-0.0556944256757323</v>
      </c>
      <c r="G325" s="13" t="n">
        <v>0.0328232842546028</v>
      </c>
      <c r="H325" s="13" t="n">
        <v>0.000574107252438702</v>
      </c>
      <c r="I325" s="13" t="n">
        <v>0.0428163825080274</v>
      </c>
      <c r="J325" s="13" t="n">
        <v>0.0668557381798832</v>
      </c>
      <c r="K325" s="13" t="n">
        <v>-0.105093014415648</v>
      </c>
    </row>
    <row r="326" customFormat="false" ht="15" hidden="false" customHeight="false" outlineLevel="0" collapsed="false">
      <c r="A326" s="12" t="n">
        <v>1990</v>
      </c>
      <c r="B326" s="12" t="n">
        <v>1</v>
      </c>
      <c r="C326" s="13" t="n">
        <v>1.78911612903226</v>
      </c>
      <c r="D326" s="13" t="n">
        <v>1.86057512049924</v>
      </c>
      <c r="E326" s="13" t="n">
        <v>-0.0714589914669778</v>
      </c>
      <c r="F326" s="13" t="n">
        <v>-0.170797341502707</v>
      </c>
      <c r="G326" s="13" t="n">
        <v>0.0745860962643315</v>
      </c>
      <c r="H326" s="13" t="n">
        <v>-0.0144288628529221</v>
      </c>
      <c r="I326" s="13" t="n">
        <v>0.0429261170972691</v>
      </c>
      <c r="J326" s="13" t="n">
        <v>0.0962910170012922</v>
      </c>
      <c r="K326" s="13" t="n">
        <v>-0.100036017474241</v>
      </c>
    </row>
    <row r="327" customFormat="false" ht="15" hidden="false" customHeight="false" outlineLevel="0" collapsed="false">
      <c r="A327" s="12" t="n">
        <v>1990</v>
      </c>
      <c r="B327" s="12" t="n">
        <v>2</v>
      </c>
      <c r="C327" s="13" t="n">
        <v>2.304425</v>
      </c>
      <c r="D327" s="13" t="n">
        <v>2.01431497831054</v>
      </c>
      <c r="E327" s="13" t="n">
        <v>0.290110021689465</v>
      </c>
      <c r="F327" s="13" t="n">
        <v>0.173396171865138</v>
      </c>
      <c r="G327" s="13" t="n">
        <v>0.0587763379276702</v>
      </c>
      <c r="H327" s="13" t="n">
        <v>-0.0303449267058926</v>
      </c>
      <c r="I327" s="13" t="n">
        <v>0.0393073135511296</v>
      </c>
      <c r="J327" s="13" t="n">
        <v>0.121419444547274</v>
      </c>
      <c r="K327" s="13" t="n">
        <v>-0.0724443194958542</v>
      </c>
    </row>
    <row r="328" customFormat="false" ht="15" hidden="false" customHeight="false" outlineLevel="0" collapsed="false">
      <c r="A328" s="12" t="n">
        <v>1990</v>
      </c>
      <c r="B328" s="12" t="n">
        <v>3</v>
      </c>
      <c r="C328" s="13" t="n">
        <v>2.31839032258065</v>
      </c>
      <c r="D328" s="13" t="n">
        <v>2.16755170304101</v>
      </c>
      <c r="E328" s="13" t="n">
        <v>0.15083861953964</v>
      </c>
      <c r="F328" s="13" t="n">
        <v>0.0599806756570239</v>
      </c>
      <c r="G328" s="13" t="n">
        <v>0.00489593323367338</v>
      </c>
      <c r="H328" s="13" t="n">
        <v>-0.0438256528447345</v>
      </c>
      <c r="I328" s="13" t="n">
        <v>0.0321309734750723</v>
      </c>
      <c r="J328" s="13" t="n">
        <v>0.141814869184384</v>
      </c>
      <c r="K328" s="13" t="n">
        <v>-0.0441581791657787</v>
      </c>
    </row>
    <row r="329" customFormat="false" ht="15" hidden="false" customHeight="false" outlineLevel="0" collapsed="false">
      <c r="A329" s="12" t="n">
        <v>1990</v>
      </c>
      <c r="B329" s="12" t="n">
        <v>4</v>
      </c>
      <c r="C329" s="13" t="n">
        <v>2.22257333333333</v>
      </c>
      <c r="D329" s="13" t="n">
        <v>2.24490436633535</v>
      </c>
      <c r="E329" s="13" t="n">
        <v>-0.022331033002019</v>
      </c>
      <c r="F329" s="13" t="n">
        <v>-0.0754710534316747</v>
      </c>
      <c r="G329" s="13" t="n">
        <v>-0.0414271840966054</v>
      </c>
      <c r="H329" s="13" t="n">
        <v>-0.0513713493065575</v>
      </c>
      <c r="I329" s="13" t="n">
        <v>0.021887634951055</v>
      </c>
      <c r="J329" s="13" t="n">
        <v>0.157253463869623</v>
      </c>
      <c r="K329" s="13" t="n">
        <v>-0.0332025449878591</v>
      </c>
    </row>
    <row r="330" customFormat="false" ht="15" hidden="false" customHeight="false" outlineLevel="0" collapsed="false">
      <c r="A330" s="12" t="n">
        <v>1990</v>
      </c>
      <c r="B330" s="12" t="n">
        <v>5</v>
      </c>
      <c r="C330" s="13" t="n">
        <v>1.9350064516129</v>
      </c>
      <c r="D330" s="13" t="n">
        <v>2.00720260081625</v>
      </c>
      <c r="E330" s="13" t="n">
        <v>-0.0721961492033484</v>
      </c>
      <c r="F330" s="13" t="n">
        <v>-0.116973790023446</v>
      </c>
      <c r="G330" s="13" t="n">
        <v>-0.0463919292743301</v>
      </c>
      <c r="H330" s="13" t="n">
        <v>-0.0501998234708448</v>
      </c>
      <c r="I330" s="13" t="n">
        <v>0.00935705827629349</v>
      </c>
      <c r="J330" s="13" t="n">
        <v>0.167706776503076</v>
      </c>
      <c r="K330" s="13" t="n">
        <v>-0.0356944412140975</v>
      </c>
    </row>
    <row r="331" customFormat="false" ht="15" hidden="false" customHeight="false" outlineLevel="0" collapsed="false">
      <c r="A331" s="12" t="n">
        <v>1990</v>
      </c>
      <c r="B331" s="12" t="n">
        <v>6</v>
      </c>
      <c r="C331" s="13" t="n">
        <v>1.63522333333333</v>
      </c>
      <c r="D331" s="13" t="n">
        <v>1.43617336848735</v>
      </c>
      <c r="E331" s="13" t="n">
        <v>0.199049964845982</v>
      </c>
      <c r="F331" s="13" t="n">
        <v>0.118515067097294</v>
      </c>
      <c r="G331" s="13" t="n">
        <v>-0.0137096004231802</v>
      </c>
      <c r="H331" s="13" t="n">
        <v>-0.0390544498557554</v>
      </c>
      <c r="I331" s="13" t="n">
        <v>-0.00444912386216679</v>
      </c>
      <c r="J331" s="13" t="n">
        <v>0.173326794609618</v>
      </c>
      <c r="K331" s="13" t="n">
        <v>-0.0355787227198273</v>
      </c>
    </row>
    <row r="332" customFormat="false" ht="15" hidden="false" customHeight="false" outlineLevel="0" collapsed="false">
      <c r="A332" s="12" t="n">
        <v>1990</v>
      </c>
      <c r="B332" s="12" t="n">
        <v>7</v>
      </c>
      <c r="C332" s="13" t="n">
        <v>1.20676129032258</v>
      </c>
      <c r="D332" s="13" t="n">
        <v>1.10762953648786</v>
      </c>
      <c r="E332" s="13" t="n">
        <v>0.0991317538347235</v>
      </c>
      <c r="F332" s="13" t="n">
        <v>-0.0369349868915692</v>
      </c>
      <c r="G332" s="13" t="n">
        <v>0.0225910401009307</v>
      </c>
      <c r="H332" s="13" t="n">
        <v>-0.0187367715099501</v>
      </c>
      <c r="I332" s="13" t="n">
        <v>-0.0183679201492363</v>
      </c>
      <c r="J332" s="13" t="n">
        <v>0.17442478757276</v>
      </c>
      <c r="K332" s="13" t="n">
        <v>-0.023844395288212</v>
      </c>
    </row>
    <row r="333" customFormat="false" ht="15" hidden="false" customHeight="false" outlineLevel="0" collapsed="false">
      <c r="A333" s="12" t="n">
        <v>1990</v>
      </c>
      <c r="B333" s="12" t="n">
        <v>8</v>
      </c>
      <c r="C333" s="13" t="n">
        <v>1.52856451612903</v>
      </c>
      <c r="D333" s="13" t="n">
        <v>1.30582069292925</v>
      </c>
      <c r="E333" s="13" t="n">
        <v>0.22274382319978</v>
      </c>
      <c r="F333" s="13" t="n">
        <v>0.0489699611264935</v>
      </c>
      <c r="G333" s="13" t="n">
        <v>0.0304340076880277</v>
      </c>
      <c r="H333" s="13" t="n">
        <v>0.00780006139882268</v>
      </c>
      <c r="I333" s="13" t="n">
        <v>-0.0311824893462901</v>
      </c>
      <c r="J333" s="13" t="n">
        <v>0.171445722747665</v>
      </c>
      <c r="K333" s="13" t="n">
        <v>-0.00472344041493911</v>
      </c>
    </row>
    <row r="334" customFormat="false" ht="15" hidden="false" customHeight="false" outlineLevel="0" collapsed="false">
      <c r="A334" s="12" t="n">
        <v>1990</v>
      </c>
      <c r="B334" s="12" t="n">
        <v>9</v>
      </c>
      <c r="C334" s="13" t="n">
        <v>1.88317333333333</v>
      </c>
      <c r="D334" s="13" t="n">
        <v>1.72181405535991</v>
      </c>
      <c r="E334" s="13" t="n">
        <v>0.161359277973421</v>
      </c>
      <c r="F334" s="13" t="n">
        <v>-0.0169543978831589</v>
      </c>
      <c r="G334" s="13" t="n">
        <v>0.00748281433354761</v>
      </c>
      <c r="H334" s="13" t="n">
        <v>0.0358645281357502</v>
      </c>
      <c r="I334" s="13" t="n">
        <v>-0.0417286107702629</v>
      </c>
      <c r="J334" s="13" t="n">
        <v>0.164939885525961</v>
      </c>
      <c r="K334" s="13" t="n">
        <v>0.0117550586315835</v>
      </c>
    </row>
    <row r="335" customFormat="false" ht="15" hidden="false" customHeight="false" outlineLevel="0" collapsed="false">
      <c r="A335" s="12" t="n">
        <v>1990</v>
      </c>
      <c r="B335" s="12" t="n">
        <v>10</v>
      </c>
      <c r="C335" s="13" t="n">
        <v>2.21908709677419</v>
      </c>
      <c r="D335" s="13" t="n">
        <v>2.05938822789556</v>
      </c>
      <c r="E335" s="13" t="n">
        <v>0.159698868878637</v>
      </c>
      <c r="F335" s="13" t="n">
        <v>-0.00637899168086854</v>
      </c>
      <c r="G335" s="13" t="n">
        <v>-0.0201717780599634</v>
      </c>
      <c r="H335" s="13" t="n">
        <v>0.0598943589482271</v>
      </c>
      <c r="I335" s="13" t="n">
        <v>-0.0490008546736871</v>
      </c>
      <c r="J335" s="13" t="n">
        <v>0.155533144154723</v>
      </c>
      <c r="K335" s="13" t="n">
        <v>0.0198229901902058</v>
      </c>
    </row>
    <row r="336" customFormat="false" ht="15" hidden="false" customHeight="false" outlineLevel="0" collapsed="false">
      <c r="A336" s="12" t="n">
        <v>1990</v>
      </c>
      <c r="B336" s="12" t="n">
        <v>11</v>
      </c>
      <c r="C336" s="13" t="n">
        <v>2.28094666666667</v>
      </c>
      <c r="D336" s="13" t="n">
        <v>2.12161547203958</v>
      </c>
      <c r="E336" s="13" t="n">
        <v>0.159331194627085</v>
      </c>
      <c r="F336" s="13" t="n">
        <v>-0.00380217835215368</v>
      </c>
      <c r="G336" s="13" t="n">
        <v>-0.0254826978031521</v>
      </c>
      <c r="H336" s="13" t="n">
        <v>0.0746112363201847</v>
      </c>
      <c r="I336" s="13" t="n">
        <v>-0.0522487538520111</v>
      </c>
      <c r="J336" s="13" t="n">
        <v>0.143897164762329</v>
      </c>
      <c r="K336" s="13" t="n">
        <v>0.0223564235518887</v>
      </c>
    </row>
    <row r="337" customFormat="false" ht="15" hidden="false" customHeight="false" outlineLevel="0" collapsed="false">
      <c r="A337" s="12" t="n">
        <v>1990</v>
      </c>
      <c r="B337" s="12" t="n">
        <v>12</v>
      </c>
      <c r="C337" s="13" t="n">
        <v>2.0649</v>
      </c>
      <c r="D337" s="13" t="n">
        <v>1.95953324165377</v>
      </c>
      <c r="E337" s="13" t="n">
        <v>0.105366758346229</v>
      </c>
      <c r="F337" s="13" t="n">
        <v>-0.0708481307952547</v>
      </c>
      <c r="G337" s="13" t="n">
        <v>-0.00666094906830233</v>
      </c>
      <c r="H337" s="13" t="n">
        <v>0.0762136215093595</v>
      </c>
      <c r="I337" s="13" t="n">
        <v>-0.0510537243127633</v>
      </c>
      <c r="J337" s="13" t="n">
        <v>0.130720769978235</v>
      </c>
      <c r="K337" s="13" t="n">
        <v>0.0269951710349555</v>
      </c>
    </row>
    <row r="338" customFormat="false" ht="15" hidden="false" customHeight="false" outlineLevel="0" collapsed="false">
      <c r="A338" s="12" t="n">
        <v>1991</v>
      </c>
      <c r="B338" s="12" t="n">
        <v>1</v>
      </c>
      <c r="C338" s="13" t="n">
        <v>2.18205161290323</v>
      </c>
      <c r="D338" s="13" t="n">
        <v>1.92668210550475</v>
      </c>
      <c r="E338" s="13" t="n">
        <v>0.255369507398473</v>
      </c>
      <c r="F338" s="13" t="n">
        <v>0.0691833624241673</v>
      </c>
      <c r="G338" s="13" t="n">
        <v>0.0133029236301473</v>
      </c>
      <c r="H338" s="13" t="n">
        <v>0.0633322387528216</v>
      </c>
      <c r="I338" s="13" t="n">
        <v>-0.0453788246086839</v>
      </c>
      <c r="J338" s="13" t="n">
        <v>0.116683491252583</v>
      </c>
      <c r="K338" s="13" t="n">
        <v>0.0382463159474385</v>
      </c>
    </row>
    <row r="339" customFormat="false" ht="15" hidden="false" customHeight="false" outlineLevel="0" collapsed="false">
      <c r="A339" s="12" t="n">
        <v>1991</v>
      </c>
      <c r="B339" s="12" t="n">
        <v>2</v>
      </c>
      <c r="C339" s="13" t="n">
        <v>2.27515357142857</v>
      </c>
      <c r="D339" s="13" t="n">
        <v>2.07771144030993</v>
      </c>
      <c r="E339" s="13" t="n">
        <v>0.197442131118642</v>
      </c>
      <c r="F339" s="13" t="n">
        <v>0.026504846081593</v>
      </c>
      <c r="G339" s="13" t="n">
        <v>0.0124893012765893</v>
      </c>
      <c r="H339" s="13" t="n">
        <v>0.0375107516582801</v>
      </c>
      <c r="I339" s="13" t="n">
        <v>-0.0355856054976484</v>
      </c>
      <c r="J339" s="13" t="n">
        <v>0.102432169762967</v>
      </c>
      <c r="K339" s="13" t="n">
        <v>0.0540906678368607</v>
      </c>
    </row>
    <row r="340" customFormat="false" ht="15" hidden="false" customHeight="false" outlineLevel="0" collapsed="false">
      <c r="A340" s="12" t="n">
        <v>1991</v>
      </c>
      <c r="B340" s="12" t="n">
        <v>3</v>
      </c>
      <c r="C340" s="13" t="n">
        <v>2.39216774193548</v>
      </c>
      <c r="D340" s="13" t="n">
        <v>2.2283611589247</v>
      </c>
      <c r="E340" s="13" t="n">
        <v>0.163806583010788</v>
      </c>
      <c r="F340" s="13" t="n">
        <v>0.0303709579712934</v>
      </c>
      <c r="G340" s="13" t="n">
        <v>-0.00562810833547878</v>
      </c>
      <c r="H340" s="13" t="n">
        <v>0.00307086848301578</v>
      </c>
      <c r="I340" s="13" t="n">
        <v>-0.0224151230583121</v>
      </c>
      <c r="J340" s="13" t="n">
        <v>0.0885612429134598</v>
      </c>
      <c r="K340" s="13" t="n">
        <v>0.0698467450368098</v>
      </c>
    </row>
    <row r="341" customFormat="false" ht="15" hidden="false" customHeight="false" outlineLevel="0" collapsed="false">
      <c r="A341" s="12" t="n">
        <v>1991</v>
      </c>
      <c r="B341" s="12" t="n">
        <v>4</v>
      </c>
      <c r="C341" s="13" t="n">
        <v>2.32903333333333</v>
      </c>
      <c r="D341" s="13" t="n">
        <v>2.30325281618678</v>
      </c>
      <c r="E341" s="13" t="n">
        <v>0.0257805171465518</v>
      </c>
      <c r="F341" s="13" t="n">
        <v>-0.0767805801627881</v>
      </c>
      <c r="G341" s="13" t="n">
        <v>-0.0151291746966134</v>
      </c>
      <c r="H341" s="13" t="n">
        <v>-0.0336437451298598</v>
      </c>
      <c r="I341" s="13" t="n">
        <v>-0.00693343257485427</v>
      </c>
      <c r="J341" s="13" t="n">
        <v>0.0755971652729169</v>
      </c>
      <c r="K341" s="13" t="n">
        <v>0.0826702844377504</v>
      </c>
    </row>
    <row r="342" customFormat="false" ht="15" hidden="false" customHeight="false" outlineLevel="0" collapsed="false">
      <c r="A342" s="12" t="n">
        <v>1991</v>
      </c>
      <c r="B342" s="12" t="n">
        <v>5</v>
      </c>
      <c r="C342" s="13" t="n">
        <v>2.10818387096774</v>
      </c>
      <c r="D342" s="13" t="n">
        <v>2.06321787726868</v>
      </c>
      <c r="E342" s="13" t="n">
        <v>0.0449659936990611</v>
      </c>
      <c r="F342" s="13" t="n">
        <v>-0.058561345249448</v>
      </c>
      <c r="G342" s="13" t="n">
        <v>0.00393507595137273</v>
      </c>
      <c r="H342" s="13" t="n">
        <v>-0.0655072199756157</v>
      </c>
      <c r="I342" s="13" t="n">
        <v>0.00955474616275472</v>
      </c>
      <c r="J342" s="13" t="n">
        <v>0.063987263133256</v>
      </c>
      <c r="K342" s="13" t="n">
        <v>0.0915574736767414</v>
      </c>
    </row>
    <row r="343" customFormat="false" ht="15" hidden="false" customHeight="false" outlineLevel="0" collapsed="false">
      <c r="A343" s="12" t="n">
        <v>1991</v>
      </c>
      <c r="B343" s="12" t="n">
        <v>6</v>
      </c>
      <c r="C343" s="13" t="n">
        <v>1.72720666666667</v>
      </c>
      <c r="D343" s="13" t="n">
        <v>1.4899844849939</v>
      </c>
      <c r="E343" s="13" t="n">
        <v>0.237222181672765</v>
      </c>
      <c r="F343" s="13" t="n">
        <v>0.106752032427175</v>
      </c>
      <c r="G343" s="13" t="n">
        <v>0.04033345151602</v>
      </c>
      <c r="H343" s="13" t="n">
        <v>-0.0860798965269345</v>
      </c>
      <c r="I343" s="13" t="n">
        <v>0.0256173231905414</v>
      </c>
      <c r="J343" s="13" t="n">
        <v>0.0540931428384237</v>
      </c>
      <c r="K343" s="13" t="n">
        <v>0.0965061282275393</v>
      </c>
    </row>
    <row r="344" customFormat="false" ht="15" hidden="false" customHeight="false" outlineLevel="0" collapsed="false">
      <c r="A344" s="12" t="n">
        <v>1991</v>
      </c>
      <c r="B344" s="12" t="n">
        <v>7</v>
      </c>
      <c r="C344" s="13" t="n">
        <v>1.28704838709677</v>
      </c>
      <c r="D344" s="13" t="n">
        <v>1.15936603675138</v>
      </c>
      <c r="E344" s="13" t="n">
        <v>0.127682350345398</v>
      </c>
      <c r="F344" s="13" t="n">
        <v>-0.024459628815928</v>
      </c>
      <c r="G344" s="13" t="n">
        <v>0.0571011899804105</v>
      </c>
      <c r="H344" s="13" t="n">
        <v>-0.0909874431220441</v>
      </c>
      <c r="I344" s="13" t="n">
        <v>0.0398215636008144</v>
      </c>
      <c r="J344" s="13" t="n">
        <v>0.046188492651711</v>
      </c>
      <c r="K344" s="13" t="n">
        <v>0.100018176050434</v>
      </c>
    </row>
    <row r="345" customFormat="false" ht="15" hidden="false" customHeight="false" outlineLevel="0" collapsed="false">
      <c r="A345" s="12" t="n">
        <v>1991</v>
      </c>
      <c r="B345" s="12" t="n">
        <v>8</v>
      </c>
      <c r="C345" s="13" t="n">
        <v>1.44791612903226</v>
      </c>
      <c r="D345" s="13" t="n">
        <v>1.35561200377116</v>
      </c>
      <c r="E345" s="13" t="n">
        <v>0.0923041252611029</v>
      </c>
      <c r="F345" s="13" t="n">
        <v>-0.0524626617466776</v>
      </c>
      <c r="G345" s="13" t="n">
        <v>0.0256764823856961</v>
      </c>
      <c r="H345" s="13" t="n">
        <v>-0.0789011929673457</v>
      </c>
      <c r="I345" s="13" t="n">
        <v>0.0508648631280077</v>
      </c>
      <c r="J345" s="13" t="n">
        <v>0.0404607649699526</v>
      </c>
      <c r="K345" s="13" t="n">
        <v>0.10666586949147</v>
      </c>
    </row>
    <row r="346" customFormat="false" ht="15" hidden="false" customHeight="false" outlineLevel="0" collapsed="false">
      <c r="A346" s="12" t="n">
        <v>1991</v>
      </c>
      <c r="B346" s="12" t="n">
        <v>9</v>
      </c>
      <c r="C346" s="13" t="n">
        <v>2.05552333333333</v>
      </c>
      <c r="D346" s="13" t="n">
        <v>1.76978884523329</v>
      </c>
      <c r="E346" s="13" t="n">
        <v>0.285734488100046</v>
      </c>
      <c r="F346" s="13" t="n">
        <v>0.167115502116102</v>
      </c>
      <c r="G346" s="13" t="n">
        <v>-0.0426049394294645</v>
      </c>
      <c r="H346" s="13" t="n">
        <v>-0.0518905268988312</v>
      </c>
      <c r="I346" s="13" t="n">
        <v>0.057697372951432</v>
      </c>
      <c r="J346" s="13" t="n">
        <v>0.0370159156685085</v>
      </c>
      <c r="K346" s="13" t="n">
        <v>0.1184011636923</v>
      </c>
    </row>
    <row r="347" customFormat="false" ht="15" hidden="false" customHeight="false" outlineLevel="0" collapsed="false">
      <c r="A347" s="12" t="n">
        <v>1991</v>
      </c>
      <c r="B347" s="12" t="n">
        <v>10</v>
      </c>
      <c r="C347" s="13" t="n">
        <v>2.03988709677419</v>
      </c>
      <c r="D347" s="13" t="n">
        <v>2.10567377326826</v>
      </c>
      <c r="E347" s="13" t="n">
        <v>-0.0657866764940691</v>
      </c>
      <c r="F347" s="13" t="n">
        <v>-0.17848635633232</v>
      </c>
      <c r="G347" s="13" t="n">
        <v>-0.0992019979612893</v>
      </c>
      <c r="H347" s="13" t="n">
        <v>-0.0150536779809644</v>
      </c>
      <c r="I347" s="13" t="n">
        <v>0.0596246129471858</v>
      </c>
      <c r="J347" s="13" t="n">
        <v>0.0358851924508271</v>
      </c>
      <c r="K347" s="13" t="n">
        <v>0.131445550382492</v>
      </c>
    </row>
    <row r="348" customFormat="false" ht="15" hidden="false" customHeight="false" outlineLevel="0" collapsed="false">
      <c r="A348" s="12" t="n">
        <v>1991</v>
      </c>
      <c r="B348" s="12" t="n">
        <v>11</v>
      </c>
      <c r="C348" s="13" t="n">
        <v>2.35840666666667</v>
      </c>
      <c r="D348" s="13" t="n">
        <v>2.16633703383918</v>
      </c>
      <c r="E348" s="13" t="n">
        <v>0.192069632827485</v>
      </c>
      <c r="F348" s="13" t="n">
        <v>0.0307232151530411</v>
      </c>
      <c r="G348" s="13" t="n">
        <v>-0.0963445729138095</v>
      </c>
      <c r="H348" s="13" t="n">
        <v>0.0245060473314948</v>
      </c>
      <c r="I348" s="13" t="n">
        <v>0.056379731367283</v>
      </c>
      <c r="J348" s="13" t="n">
        <v>0.0370328938783137</v>
      </c>
      <c r="K348" s="13" t="n">
        <v>0.139772318011162</v>
      </c>
    </row>
    <row r="349" customFormat="false" ht="15" hidden="false" customHeight="false" outlineLevel="0" collapsed="false">
      <c r="A349" s="12" t="n">
        <v>1991</v>
      </c>
      <c r="B349" s="12" t="n">
        <v>12</v>
      </c>
      <c r="C349" s="13" t="n">
        <v>2.28570967741936</v>
      </c>
      <c r="D349" s="13" t="n">
        <v>2.00281345390925</v>
      </c>
      <c r="E349" s="13" t="n">
        <v>0.2828962235101</v>
      </c>
      <c r="F349" s="13" t="n">
        <v>0.0212276780458295</v>
      </c>
      <c r="G349" s="13" t="n">
        <v>-0.0282358499269899</v>
      </c>
      <c r="H349" s="13" t="n">
        <v>0.0591428730293356</v>
      </c>
      <c r="I349" s="13" t="n">
        <v>0.0481576633726812</v>
      </c>
      <c r="J349" s="13" t="n">
        <v>0.040364010052816</v>
      </c>
      <c r="K349" s="13" t="n">
        <v>0.142239848936428</v>
      </c>
    </row>
    <row r="350" customFormat="false" ht="15" hidden="false" customHeight="false" outlineLevel="0" collapsed="false">
      <c r="A350" s="12" t="n">
        <v>1992</v>
      </c>
      <c r="B350" s="12" t="n">
        <v>1</v>
      </c>
      <c r="C350" s="13" t="n">
        <v>2.38780967741936</v>
      </c>
      <c r="D350" s="13" t="n">
        <v>1.96864037829363</v>
      </c>
      <c r="E350" s="13" t="n">
        <v>0.419169299125724</v>
      </c>
      <c r="F350" s="13" t="n">
        <v>0.0490292385273017</v>
      </c>
      <c r="G350" s="13" t="n">
        <v>0.0612256098030828</v>
      </c>
      <c r="H350" s="13" t="n">
        <v>0.0822523778147409</v>
      </c>
      <c r="I350" s="13" t="n">
        <v>0.035606893053951</v>
      </c>
      <c r="J350" s="13" t="n">
        <v>0.0457306764610781</v>
      </c>
      <c r="K350" s="13" t="n">
        <v>0.145324503465569</v>
      </c>
    </row>
    <row r="351" customFormat="false" ht="15" hidden="false" customHeight="false" outlineLevel="0" collapsed="false">
      <c r="A351" s="12" t="n">
        <v>1992</v>
      </c>
      <c r="B351" s="12" t="n">
        <v>2</v>
      </c>
      <c r="C351" s="13" t="n">
        <v>2.42689655172414</v>
      </c>
      <c r="D351" s="13" t="n">
        <v>2.11846337907127</v>
      </c>
      <c r="E351" s="13" t="n">
        <v>0.308433172652864</v>
      </c>
      <c r="F351" s="13" t="n">
        <v>-0.122217043241479</v>
      </c>
      <c r="G351" s="13" t="n">
        <v>0.112028854822825</v>
      </c>
      <c r="H351" s="13" t="n">
        <v>0.0896287620523504</v>
      </c>
      <c r="I351" s="13" t="n">
        <v>0.0197785177907772</v>
      </c>
      <c r="J351" s="13" t="n">
        <v>0.052936479842242</v>
      </c>
      <c r="K351" s="13" t="n">
        <v>0.156277601386149</v>
      </c>
    </row>
    <row r="352" customFormat="false" ht="15" hidden="false" customHeight="false" outlineLevel="0" collapsed="false">
      <c r="A352" s="12" t="n">
        <v>1992</v>
      </c>
      <c r="B352" s="12" t="n">
        <v>3</v>
      </c>
      <c r="C352" s="13" t="n">
        <v>2.77597419354839</v>
      </c>
      <c r="D352" s="13" t="n">
        <v>2.26801800212631</v>
      </c>
      <c r="E352" s="13" t="n">
        <v>0.507956191422077</v>
      </c>
      <c r="F352" s="13" t="n">
        <v>0.0954740887973455</v>
      </c>
      <c r="G352" s="13" t="n">
        <v>0.0944575562082856</v>
      </c>
      <c r="H352" s="13" t="n">
        <v>0.080297489752906</v>
      </c>
      <c r="I352" s="13" t="n">
        <v>0.00203646529616725</v>
      </c>
      <c r="J352" s="13" t="n">
        <v>0.0617379748127617</v>
      </c>
      <c r="K352" s="13" t="n">
        <v>0.173952616554611</v>
      </c>
    </row>
    <row r="353" customFormat="false" ht="15" hidden="false" customHeight="false" outlineLevel="0" collapsed="false">
      <c r="A353" s="12" t="n">
        <v>1992</v>
      </c>
      <c r="B353" s="12" t="n">
        <v>4</v>
      </c>
      <c r="C353" s="13" t="n">
        <v>2.76095</v>
      </c>
      <c r="D353" s="13" t="n">
        <v>2.34192089328982</v>
      </c>
      <c r="E353" s="13" t="n">
        <v>0.419029106710178</v>
      </c>
      <c r="F353" s="13" t="n">
        <v>0.0864497449286546</v>
      </c>
      <c r="G353" s="13" t="n">
        <v>0.0290513137939767</v>
      </c>
      <c r="H353" s="13" t="n">
        <v>0.056644074500465</v>
      </c>
      <c r="I353" s="13" t="n">
        <v>-0.0160633936940575</v>
      </c>
      <c r="J353" s="13" t="n">
        <v>0.0718433769121987</v>
      </c>
      <c r="K353" s="13" t="n">
        <v>0.191103990268941</v>
      </c>
    </row>
    <row r="354" customFormat="false" ht="15" hidden="false" customHeight="false" outlineLevel="0" collapsed="false">
      <c r="A354" s="12" t="n">
        <v>1992</v>
      </c>
      <c r="B354" s="12" t="n">
        <v>5</v>
      </c>
      <c r="C354" s="13" t="n">
        <v>2.23833870967742</v>
      </c>
      <c r="D354" s="13" t="n">
        <v>2.10099808885084</v>
      </c>
      <c r="E354" s="13" t="n">
        <v>0.137340620826581</v>
      </c>
      <c r="F354" s="13" t="n">
        <v>-0.106948220445188</v>
      </c>
      <c r="G354" s="13" t="n">
        <v>-0.0349948631474361</v>
      </c>
      <c r="H354" s="13" t="n">
        <v>0.0238202126495392</v>
      </c>
      <c r="I354" s="13" t="n">
        <v>-0.032914265197929</v>
      </c>
      <c r="J354" s="13" t="n">
        <v>0.0829092224120342</v>
      </c>
      <c r="K354" s="13" t="n">
        <v>0.20546853455556</v>
      </c>
    </row>
    <row r="355" customFormat="false" ht="15" hidden="false" customHeight="false" outlineLevel="0" collapsed="false">
      <c r="A355" s="12" t="n">
        <v>1992</v>
      </c>
      <c r="B355" s="12" t="n">
        <v>6</v>
      </c>
      <c r="C355" s="13" t="n">
        <v>1.6477</v>
      </c>
      <c r="D355" s="13" t="n">
        <v>1.52697180681712</v>
      </c>
      <c r="E355" s="13" t="n">
        <v>0.120728193182884</v>
      </c>
      <c r="F355" s="13" t="n">
        <v>-0.0748880421482919</v>
      </c>
      <c r="G355" s="13" t="n">
        <v>-0.0613883909449038</v>
      </c>
      <c r="H355" s="13" t="n">
        <v>-0.0114273438973951</v>
      </c>
      <c r="I355" s="13" t="n">
        <v>-0.0470063969452059</v>
      </c>
      <c r="J355" s="13" t="n">
        <v>0.0945366434532203</v>
      </c>
      <c r="K355" s="13" t="n">
        <v>0.22090172366546</v>
      </c>
    </row>
    <row r="356" customFormat="false" ht="15" hidden="false" customHeight="false" outlineLevel="0" collapsed="false">
      <c r="A356" s="12" t="n">
        <v>1992</v>
      </c>
      <c r="B356" s="12" t="n">
        <v>7</v>
      </c>
      <c r="C356" s="13" t="n">
        <v>1.36285483870968</v>
      </c>
      <c r="D356" s="13" t="n">
        <v>1.195649049501</v>
      </c>
      <c r="E356" s="13" t="n">
        <v>0.167205789208675</v>
      </c>
      <c r="F356" s="13" t="n">
        <v>-0.0253515674483081</v>
      </c>
      <c r="G356" s="13" t="n">
        <v>-0.0508974537346891</v>
      </c>
      <c r="H356" s="13" t="n">
        <v>-0.0422308230200977</v>
      </c>
      <c r="I356" s="13" t="n">
        <v>-0.0570678547452715</v>
      </c>
      <c r="J356" s="13" t="n">
        <v>0.10626955086988</v>
      </c>
      <c r="K356" s="13" t="n">
        <v>0.236483937287162</v>
      </c>
    </row>
    <row r="357" customFormat="false" ht="15" hidden="false" customHeight="false" outlineLevel="0" collapsed="false">
      <c r="A357" s="12" t="n">
        <v>1992</v>
      </c>
      <c r="B357" s="12" t="n">
        <v>8</v>
      </c>
      <c r="C357" s="13" t="n">
        <v>1.83537419354839</v>
      </c>
      <c r="D357" s="13" t="n">
        <v>1.39127245006003</v>
      </c>
      <c r="E357" s="13" t="n">
        <v>0.444101743488355</v>
      </c>
      <c r="F357" s="13" t="n">
        <v>0.236867326358089</v>
      </c>
      <c r="G357" s="13" t="n">
        <v>-0.0297603284549053</v>
      </c>
      <c r="H357" s="13" t="n">
        <v>-0.0630408052517836</v>
      </c>
      <c r="I357" s="13" t="n">
        <v>-0.0621844290831182</v>
      </c>
      <c r="J357" s="13" t="n">
        <v>0.11759719705504</v>
      </c>
      <c r="K357" s="13" t="n">
        <v>0.244622782865034</v>
      </c>
    </row>
    <row r="358" customFormat="false" ht="15" hidden="false" customHeight="false" outlineLevel="0" collapsed="false">
      <c r="A358" s="12" t="n">
        <v>1992</v>
      </c>
      <c r="B358" s="12" t="n">
        <v>9</v>
      </c>
      <c r="C358" s="13" t="n">
        <v>1.93739666666667</v>
      </c>
      <c r="D358" s="13" t="n">
        <v>1.80490121542633</v>
      </c>
      <c r="E358" s="13" t="n">
        <v>0.13249545124034</v>
      </c>
      <c r="F358" s="13" t="n">
        <v>-0.0887135683917742</v>
      </c>
      <c r="G358" s="13" t="n">
        <v>-0.0185853449665696</v>
      </c>
      <c r="H358" s="13" t="n">
        <v>-0.0707103170043872</v>
      </c>
      <c r="I358" s="13" t="n">
        <v>-0.0618868291758686</v>
      </c>
      <c r="J358" s="13" t="n">
        <v>0.127963205961066</v>
      </c>
      <c r="K358" s="13" t="n">
        <v>0.244428304817873</v>
      </c>
    </row>
    <row r="359" customFormat="false" ht="15" hidden="false" customHeight="false" outlineLevel="0" collapsed="false">
      <c r="A359" s="12" t="n">
        <v>1992</v>
      </c>
      <c r="B359" s="12" t="n">
        <v>10</v>
      </c>
      <c r="C359" s="13" t="n">
        <v>2.34544516129032</v>
      </c>
      <c r="D359" s="13" t="n">
        <v>2.14030492155555</v>
      </c>
      <c r="E359" s="13" t="n">
        <v>0.205140239734771</v>
      </c>
      <c r="F359" s="13" t="n">
        <v>-0.0434056495756805</v>
      </c>
      <c r="G359" s="13" t="n">
        <v>-0.0142688742142642</v>
      </c>
      <c r="H359" s="13" t="n">
        <v>-0.0649949243048686</v>
      </c>
      <c r="I359" s="13" t="n">
        <v>-0.0561963863741891</v>
      </c>
      <c r="J359" s="13" t="n">
        <v>0.136782344696131</v>
      </c>
      <c r="K359" s="13" t="n">
        <v>0.247223729507642</v>
      </c>
    </row>
    <row r="360" customFormat="false" ht="15" hidden="false" customHeight="false" outlineLevel="0" collapsed="false">
      <c r="A360" s="12" t="n">
        <v>1992</v>
      </c>
      <c r="B360" s="12" t="n">
        <v>11</v>
      </c>
      <c r="C360" s="13" t="n">
        <v>2.40937666666667</v>
      </c>
      <c r="D360" s="13" t="n">
        <v>2.20054582587282</v>
      </c>
      <c r="E360" s="13" t="n">
        <v>0.208830840793851</v>
      </c>
      <c r="F360" s="13" t="n">
        <v>-0.100994390722549</v>
      </c>
      <c r="G360" s="13" t="n">
        <v>-0.000637946764909554</v>
      </c>
      <c r="H360" s="13" t="n">
        <v>-0.0483835224877168</v>
      </c>
      <c r="I360" s="13" t="n">
        <v>-0.0456244871743785</v>
      </c>
      <c r="J360" s="13" t="n">
        <v>0.143465302633218</v>
      </c>
      <c r="K360" s="13" t="n">
        <v>0.261005885310187</v>
      </c>
    </row>
    <row r="361" customFormat="false" ht="15" hidden="false" customHeight="false" outlineLevel="0" collapsed="false">
      <c r="A361" s="12" t="n">
        <v>1992</v>
      </c>
      <c r="B361" s="12" t="n">
        <v>12</v>
      </c>
      <c r="C361" s="13" t="n">
        <v>2.51234516129032</v>
      </c>
      <c r="D361" s="13" t="n">
        <v>2.03665044725699</v>
      </c>
      <c r="E361" s="13" t="n">
        <v>0.475694714033329</v>
      </c>
      <c r="F361" s="13" t="n">
        <v>0.0809157465537683</v>
      </c>
      <c r="G361" s="13" t="n">
        <v>0.0272912274664416</v>
      </c>
      <c r="H361" s="13" t="n">
        <v>-0.0253338553531119</v>
      </c>
      <c r="I361" s="13" t="n">
        <v>-0.0311254912967061</v>
      </c>
      <c r="J361" s="13" t="n">
        <v>0.147450660383492</v>
      </c>
      <c r="K361" s="13" t="n">
        <v>0.276496426279446</v>
      </c>
    </row>
    <row r="362" customFormat="false" ht="15" hidden="false" customHeight="false" outlineLevel="0" collapsed="false">
      <c r="A362" s="12" t="n">
        <v>1993</v>
      </c>
      <c r="B362" s="12" t="n">
        <v>1</v>
      </c>
      <c r="C362" s="13" t="n">
        <v>2.53552258064516</v>
      </c>
      <c r="D362" s="13" t="n">
        <v>2.00214753680709</v>
      </c>
      <c r="E362" s="13" t="n">
        <v>0.533375043838068</v>
      </c>
      <c r="F362" s="13" t="n">
        <v>0.0686167542726597</v>
      </c>
      <c r="G362" s="13" t="n">
        <v>0.0531409563846783</v>
      </c>
      <c r="H362" s="13" t="n">
        <v>-0.00112321617679646</v>
      </c>
      <c r="I362" s="13" t="n">
        <v>-0.0140075013977259</v>
      </c>
      <c r="J362" s="13" t="n">
        <v>0.148242113313905</v>
      </c>
      <c r="K362" s="13" t="n">
        <v>0.278505937441348</v>
      </c>
    </row>
    <row r="363" customFormat="false" ht="15" hidden="false" customHeight="false" outlineLevel="0" collapsed="false">
      <c r="A363" s="12" t="n">
        <v>1993</v>
      </c>
      <c r="B363" s="12" t="n">
        <v>2</v>
      </c>
      <c r="C363" s="13" t="n">
        <v>2.66274642857143</v>
      </c>
      <c r="D363" s="13" t="n">
        <v>2.1516738221763</v>
      </c>
      <c r="E363" s="13" t="n">
        <v>0.511072606395133</v>
      </c>
      <c r="F363" s="13" t="n">
        <v>0.0200527389040193</v>
      </c>
      <c r="G363" s="13" t="n">
        <v>0.0538903065423596</v>
      </c>
      <c r="H363" s="13" t="n">
        <v>0.0193942215866239</v>
      </c>
      <c r="I363" s="13" t="n">
        <v>0.00419043857851676</v>
      </c>
      <c r="J363" s="13" t="n">
        <v>0.145448001086687</v>
      </c>
      <c r="K363" s="13" t="n">
        <v>0.268096899696927</v>
      </c>
    </row>
    <row r="364" customFormat="false" ht="15" hidden="false" customHeight="false" outlineLevel="0" collapsed="false">
      <c r="A364" s="12" t="n">
        <v>1993</v>
      </c>
      <c r="B364" s="12" t="n">
        <v>3</v>
      </c>
      <c r="C364" s="13" t="n">
        <v>2.66274516129032</v>
      </c>
      <c r="D364" s="13" t="n">
        <v>2.30095578992313</v>
      </c>
      <c r="E364" s="13" t="n">
        <v>0.361789371367192</v>
      </c>
      <c r="F364" s="13" t="n">
        <v>-0.118336318850367</v>
      </c>
      <c r="G364" s="13" t="n">
        <v>0.0236334966231437</v>
      </c>
      <c r="H364" s="13" t="n">
        <v>0.0328246227231249</v>
      </c>
      <c r="I364" s="13" t="n">
        <v>0.0218427707518446</v>
      </c>
      <c r="J364" s="13" t="n">
        <v>0.138819531012259</v>
      </c>
      <c r="K364" s="13" t="n">
        <v>0.263005269107187</v>
      </c>
    </row>
    <row r="365" customFormat="false" ht="15" hidden="false" customHeight="false" outlineLevel="0" collapsed="false">
      <c r="A365" s="12" t="n">
        <v>1993</v>
      </c>
      <c r="B365" s="12" t="n">
        <v>4</v>
      </c>
      <c r="C365" s="13" t="n">
        <v>2.85160666666667</v>
      </c>
      <c r="D365" s="13" t="n">
        <v>2.37460084823502</v>
      </c>
      <c r="E365" s="13" t="n">
        <v>0.477005818431642</v>
      </c>
      <c r="F365" s="13" t="n">
        <v>0.0170982458380403</v>
      </c>
      <c r="G365" s="13" t="n">
        <v>-0.0181849677332702</v>
      </c>
      <c r="H365" s="13" t="n">
        <v>0.0378332092868501</v>
      </c>
      <c r="I365" s="13" t="n">
        <v>0.0373893609673444</v>
      </c>
      <c r="J365" s="13" t="n">
        <v>0.128283927891198</v>
      </c>
      <c r="K365" s="13" t="n">
        <v>0.274586042181479</v>
      </c>
    </row>
    <row r="366" customFormat="false" ht="15" hidden="false" customHeight="false" outlineLevel="0" collapsed="false">
      <c r="A366" s="12" t="n">
        <v>1993</v>
      </c>
      <c r="B366" s="12" t="n">
        <v>5</v>
      </c>
      <c r="C366" s="13" t="n">
        <v>2.6200935483871</v>
      </c>
      <c r="D366" s="13" t="n">
        <v>2.13342565465455</v>
      </c>
      <c r="E366" s="13" t="n">
        <v>0.486667893732551</v>
      </c>
      <c r="F366" s="13" t="n">
        <v>0.037169368924721</v>
      </c>
      <c r="G366" s="13" t="n">
        <v>-0.0424177473968736</v>
      </c>
      <c r="H366" s="13" t="n">
        <v>0.0351916269064411</v>
      </c>
      <c r="I366" s="13" t="n">
        <v>0.0494800938048851</v>
      </c>
      <c r="J366" s="13" t="n">
        <v>0.113969044435816</v>
      </c>
      <c r="K366" s="13" t="n">
        <v>0.293275507057561</v>
      </c>
    </row>
    <row r="367" customFormat="false" ht="15" hidden="false" customHeight="false" outlineLevel="0" collapsed="false">
      <c r="A367" s="12" t="n">
        <v>1993</v>
      </c>
      <c r="B367" s="12" t="n">
        <v>6</v>
      </c>
      <c r="C367" s="13" t="n">
        <v>2.04275666666667</v>
      </c>
      <c r="D367" s="13" t="n">
        <v>1.5591429450888</v>
      </c>
      <c r="E367" s="13" t="n">
        <v>0.483613721577872</v>
      </c>
      <c r="F367" s="13" t="n">
        <v>0.0362358729136597</v>
      </c>
      <c r="G367" s="13" t="n">
        <v>-0.0349533960629248</v>
      </c>
      <c r="H367" s="13" t="n">
        <v>0.0273038891904786</v>
      </c>
      <c r="I367" s="13" t="n">
        <v>0.0570980494057744</v>
      </c>
      <c r="J367" s="13" t="n">
        <v>0.0962165598321264</v>
      </c>
      <c r="K367" s="13" t="n">
        <v>0.301712746298757</v>
      </c>
    </row>
    <row r="368" customFormat="false" ht="15" hidden="false" customHeight="false" outlineLevel="0" collapsed="false">
      <c r="A368" s="12" t="n">
        <v>1993</v>
      </c>
      <c r="B368" s="12" t="n">
        <v>7</v>
      </c>
      <c r="C368" s="13" t="n">
        <v>1.59303870967742</v>
      </c>
      <c r="D368" s="13" t="n">
        <v>1.22755017453023</v>
      </c>
      <c r="E368" s="13" t="n">
        <v>0.365488535147186</v>
      </c>
      <c r="F368" s="13" t="n">
        <v>-0.0752694426121243</v>
      </c>
      <c r="G368" s="13" t="n">
        <v>-0.00795795686694525</v>
      </c>
      <c r="H368" s="13" t="n">
        <v>0.0173696599646433</v>
      </c>
      <c r="I368" s="13" t="n">
        <v>0.0596494013082339</v>
      </c>
      <c r="J368" s="13" t="n">
        <v>0.07558167427995</v>
      </c>
      <c r="K368" s="13" t="n">
        <v>0.296115199073428</v>
      </c>
    </row>
    <row r="369" customFormat="false" ht="15" hidden="false" customHeight="false" outlineLevel="0" collapsed="false">
      <c r="A369" s="12" t="n">
        <v>1993</v>
      </c>
      <c r="B369" s="12" t="n">
        <v>8</v>
      </c>
      <c r="C369" s="13" t="n">
        <v>1.87734193548387</v>
      </c>
      <c r="D369" s="13" t="n">
        <v>1.42288040200392</v>
      </c>
      <c r="E369" s="13" t="n">
        <v>0.454461533479952</v>
      </c>
      <c r="F369" s="13" t="n">
        <v>0.0359165055924497</v>
      </c>
      <c r="G369" s="13" t="n">
        <v>0.0118873518134527</v>
      </c>
      <c r="H369" s="13" t="n">
        <v>0.00842660419788716</v>
      </c>
      <c r="I369" s="13" t="n">
        <v>0.0570115955490155</v>
      </c>
      <c r="J369" s="13" t="n">
        <v>0.0528181549242654</v>
      </c>
      <c r="K369" s="13" t="n">
        <v>0.288401321402881</v>
      </c>
    </row>
    <row r="370" customFormat="false" ht="15" hidden="false" customHeight="false" outlineLevel="0" collapsed="false">
      <c r="A370" s="12" t="n">
        <v>1993</v>
      </c>
      <c r="B370" s="12" t="n">
        <v>9</v>
      </c>
      <c r="C370" s="13" t="n">
        <v>2.19527333333333</v>
      </c>
      <c r="D370" s="13" t="n">
        <v>1.83618327204465</v>
      </c>
      <c r="E370" s="13" t="n">
        <v>0.359090061288685</v>
      </c>
      <c r="F370" s="13" t="n">
        <v>-0.0192218029730684</v>
      </c>
      <c r="G370" s="13" t="n">
        <v>0.00714100435548955</v>
      </c>
      <c r="H370" s="13" t="n">
        <v>0.002531291731725</v>
      </c>
      <c r="I370" s="13" t="n">
        <v>0.0495356386276003</v>
      </c>
      <c r="J370" s="13" t="n">
        <v>0.0288486708572052</v>
      </c>
      <c r="K370" s="13" t="n">
        <v>0.290255258689734</v>
      </c>
    </row>
    <row r="371" customFormat="false" ht="15" hidden="false" customHeight="false" outlineLevel="0" collapsed="false">
      <c r="A371" s="12" t="n">
        <v>1993</v>
      </c>
      <c r="B371" s="12" t="n">
        <v>10</v>
      </c>
      <c r="C371" s="13" t="n">
        <v>2.57553548387097</v>
      </c>
      <c r="D371" s="13" t="n">
        <v>2.17121884850214</v>
      </c>
      <c r="E371" s="13" t="n">
        <v>0.404316635368831</v>
      </c>
      <c r="F371" s="13" t="n">
        <v>0.0756977782915809</v>
      </c>
      <c r="G371" s="13" t="n">
        <v>-0.0154740757773819</v>
      </c>
      <c r="H371" s="13" t="n">
        <v>0.000288408025043929</v>
      </c>
      <c r="I371" s="13" t="n">
        <v>0.0380029849565512</v>
      </c>
      <c r="J371" s="13" t="n">
        <v>0.00472148358614122</v>
      </c>
      <c r="K371" s="13" t="n">
        <v>0.301080056286895</v>
      </c>
    </row>
    <row r="372" customFormat="false" ht="15" hidden="false" customHeight="false" outlineLevel="0" collapsed="false">
      <c r="A372" s="12" t="n">
        <v>1993</v>
      </c>
      <c r="B372" s="12" t="n">
        <v>11</v>
      </c>
      <c r="C372" s="13" t="n">
        <v>2.42255333333333</v>
      </c>
      <c r="D372" s="13" t="n">
        <v>2.23103996543277</v>
      </c>
      <c r="E372" s="13" t="n">
        <v>0.191513367900567</v>
      </c>
      <c r="F372" s="13" t="n">
        <v>-0.0940862242310247</v>
      </c>
      <c r="G372" s="13" t="n">
        <v>-0.0314745340202165</v>
      </c>
      <c r="H372" s="13" t="n">
        <v>0.000835794451406905</v>
      </c>
      <c r="I372" s="13" t="n">
        <v>0.0235420809670836</v>
      </c>
      <c r="J372" s="13" t="n">
        <v>-0.0184443587803937</v>
      </c>
      <c r="K372" s="13" t="n">
        <v>0.311140609513712</v>
      </c>
    </row>
    <row r="373" customFormat="false" ht="15" hidden="false" customHeight="false" outlineLevel="0" collapsed="false">
      <c r="A373" s="12" t="n">
        <v>1993</v>
      </c>
      <c r="B373" s="12" t="n">
        <v>12</v>
      </c>
      <c r="C373" s="13" t="n">
        <v>2.35474516129032</v>
      </c>
      <c r="D373" s="13" t="n">
        <v>2.06666384527165</v>
      </c>
      <c r="E373" s="13" t="n">
        <v>0.288081316018672</v>
      </c>
      <c r="F373" s="13" t="n">
        <v>0.026036612941994</v>
      </c>
      <c r="G373" s="13" t="n">
        <v>-0.0203989003797243</v>
      </c>
      <c r="H373" s="13" t="n">
        <v>0.00226610513086969</v>
      </c>
      <c r="I373" s="13" t="n">
        <v>0.00751361304865679</v>
      </c>
      <c r="J373" s="13" t="n">
        <v>-0.0395222131039227</v>
      </c>
      <c r="K373" s="13" t="n">
        <v>0.312186098380799</v>
      </c>
    </row>
    <row r="374" customFormat="false" ht="15" hidden="false" customHeight="false" outlineLevel="0" collapsed="false">
      <c r="A374" s="12" t="n">
        <v>1994</v>
      </c>
      <c r="B374" s="12" t="n">
        <v>1</v>
      </c>
      <c r="C374" s="13" t="n">
        <v>2.32035483870968</v>
      </c>
      <c r="D374" s="13" t="n">
        <v>2.03161010742675</v>
      </c>
      <c r="E374" s="13" t="n">
        <v>0.288744731282926</v>
      </c>
      <c r="F374" s="13" t="n">
        <v>0.0325058855889574</v>
      </c>
      <c r="G374" s="13" t="n">
        <v>0.0157580368536121</v>
      </c>
      <c r="H374" s="13" t="n">
        <v>0.00234818325619177</v>
      </c>
      <c r="I374" s="13" t="n">
        <v>-0.0086234955498966</v>
      </c>
      <c r="J374" s="13" t="n">
        <v>-0.0574455453022917</v>
      </c>
      <c r="K374" s="13" t="n">
        <v>0.304201666436353</v>
      </c>
    </row>
    <row r="375" customFormat="false" ht="15" hidden="false" customHeight="false" outlineLevel="0" collapsed="false">
      <c r="A375" s="12" t="n">
        <v>1994</v>
      </c>
      <c r="B375" s="12" t="n">
        <v>2</v>
      </c>
      <c r="C375" s="13" t="n">
        <v>2.36639285714286</v>
      </c>
      <c r="D375" s="13" t="n">
        <v>2.18050654993783</v>
      </c>
      <c r="E375" s="13" t="n">
        <v>0.185886307205031</v>
      </c>
      <c r="F375" s="13" t="n">
        <v>-0.0658279440297313</v>
      </c>
      <c r="G375" s="13" t="n">
        <v>0.0529103824015646</v>
      </c>
      <c r="H375" s="13" t="n">
        <v>-0.000666957087553797</v>
      </c>
      <c r="I375" s="13" t="n">
        <v>-0.0234515935293887</v>
      </c>
      <c r="J375" s="13" t="n">
        <v>-0.0712757913647047</v>
      </c>
      <c r="K375" s="13" t="n">
        <v>0.294198210814845</v>
      </c>
    </row>
    <row r="376" customFormat="false" ht="15" hidden="false" customHeight="false" outlineLevel="0" collapsed="false">
      <c r="A376" s="12" t="n">
        <v>1994</v>
      </c>
      <c r="B376" s="12" t="n">
        <v>3</v>
      </c>
      <c r="C376" s="13" t="n">
        <v>2.63385806451613</v>
      </c>
      <c r="D376" s="13" t="n">
        <v>2.32907096852692</v>
      </c>
      <c r="E376" s="13" t="n">
        <v>0.304787095989209</v>
      </c>
      <c r="F376" s="13" t="n">
        <v>0.0750419906566626</v>
      </c>
      <c r="G376" s="13" t="n">
        <v>0.0635124357364686</v>
      </c>
      <c r="H376" s="13" t="n">
        <v>-0.00738983243967781</v>
      </c>
      <c r="I376" s="13" t="n">
        <v>-0.0357253310432827</v>
      </c>
      <c r="J376" s="13" t="n">
        <v>-0.0802658481063458</v>
      </c>
      <c r="K376" s="13" t="n">
        <v>0.289613681185384</v>
      </c>
    </row>
    <row r="377" customFormat="false" ht="15" hidden="false" customHeight="false" outlineLevel="0" collapsed="false">
      <c r="A377" s="12" t="n">
        <v>1994</v>
      </c>
      <c r="B377" s="12" t="n">
        <v>4</v>
      </c>
      <c r="C377" s="13" t="n">
        <v>2.53745</v>
      </c>
      <c r="D377" s="13" t="n">
        <v>2.40190235527153</v>
      </c>
      <c r="E377" s="13" t="n">
        <v>0.135547644728474</v>
      </c>
      <c r="F377" s="13" t="n">
        <v>-0.0495427439502574</v>
      </c>
      <c r="G377" s="13" t="n">
        <v>0.0379560294977972</v>
      </c>
      <c r="H377" s="13" t="n">
        <v>-0.0169763640447407</v>
      </c>
      <c r="I377" s="13" t="n">
        <v>-0.0444814485448829</v>
      </c>
      <c r="J377" s="13" t="n">
        <v>-0.0839147786487512</v>
      </c>
      <c r="K377" s="13" t="n">
        <v>0.292506950419309</v>
      </c>
    </row>
    <row r="378" customFormat="false" ht="15" hidden="false" customHeight="false" outlineLevel="0" collapsed="false">
      <c r="A378" s="12" t="n">
        <v>1994</v>
      </c>
      <c r="B378" s="12" t="n">
        <v>5</v>
      </c>
      <c r="C378" s="13" t="n">
        <v>2.35127741935484</v>
      </c>
      <c r="D378" s="13" t="n">
        <v>2.15980926142212</v>
      </c>
      <c r="E378" s="13" t="n">
        <v>0.191468157932724</v>
      </c>
      <c r="F378" s="13" t="n">
        <v>0.0589039675933841</v>
      </c>
      <c r="G378" s="13" t="n">
        <v>-0.0084516342894631</v>
      </c>
      <c r="H378" s="13" t="n">
        <v>-0.0272480911215951</v>
      </c>
      <c r="I378" s="13" t="n">
        <v>-0.0491170945809677</v>
      </c>
      <c r="J378" s="13" t="n">
        <v>-0.082009681944571</v>
      </c>
      <c r="K378" s="13" t="n">
        <v>0.299390692275937</v>
      </c>
    </row>
    <row r="379" customFormat="false" ht="15" hidden="false" customHeight="false" outlineLevel="0" collapsed="false">
      <c r="A379" s="12" t="n">
        <v>1994</v>
      </c>
      <c r="B379" s="12" t="n">
        <v>6</v>
      </c>
      <c r="C379" s="13" t="n">
        <v>1.61988333333333</v>
      </c>
      <c r="D379" s="13" t="n">
        <v>1.58449666051473</v>
      </c>
      <c r="E379" s="13" t="n">
        <v>0.0353866728186065</v>
      </c>
      <c r="F379" s="13" t="n">
        <v>-0.0626522611966862</v>
      </c>
      <c r="G379" s="13" t="n">
        <v>-0.0477423881322738</v>
      </c>
      <c r="H379" s="13" t="n">
        <v>-0.0352254071758298</v>
      </c>
      <c r="I379" s="13" t="n">
        <v>-0.0494299841821795</v>
      </c>
      <c r="J379" s="13" t="n">
        <v>-0.0746512909205046</v>
      </c>
      <c r="K379" s="13" t="n">
        <v>0.30508800442608</v>
      </c>
    </row>
    <row r="380" customFormat="false" ht="15" hidden="false" customHeight="false" outlineLevel="0" collapsed="false">
      <c r="A380" s="12" t="n">
        <v>1994</v>
      </c>
      <c r="B380" s="12" t="n">
        <v>7</v>
      </c>
      <c r="C380" s="13" t="n">
        <v>1.38096451612903</v>
      </c>
      <c r="D380" s="13" t="n">
        <v>1.25175462208178</v>
      </c>
      <c r="E380" s="13" t="n">
        <v>0.129209894047256</v>
      </c>
      <c r="F380" s="13" t="n">
        <v>0.0294501531516648</v>
      </c>
      <c r="G380" s="13" t="n">
        <v>-0.0599292505143696</v>
      </c>
      <c r="H380" s="13" t="n">
        <v>-0.0379373921264821</v>
      </c>
      <c r="I380" s="13" t="n">
        <v>-0.0456178606709629</v>
      </c>
      <c r="J380" s="13" t="n">
        <v>-0.0622607498654243</v>
      </c>
      <c r="K380" s="13" t="n">
        <v>0.30550499407283</v>
      </c>
    </row>
    <row r="381" customFormat="false" ht="15" hidden="false" customHeight="false" outlineLevel="0" collapsed="false">
      <c r="A381" s="12" t="n">
        <v>1994</v>
      </c>
      <c r="B381" s="12" t="n">
        <v>8</v>
      </c>
      <c r="C381" s="13" t="n">
        <v>1.47862580645161</v>
      </c>
      <c r="D381" s="13" t="n">
        <v>1.44580922840899</v>
      </c>
      <c r="E381" s="13" t="n">
        <v>0.0328165780426256</v>
      </c>
      <c r="F381" s="13" t="n">
        <v>-0.103570467238122</v>
      </c>
      <c r="G381" s="13" t="n">
        <v>-0.0452510956823418</v>
      </c>
      <c r="H381" s="13" t="n">
        <v>-0.0332945560419476</v>
      </c>
      <c r="I381" s="13" t="n">
        <v>-0.038239022192421</v>
      </c>
      <c r="J381" s="13" t="n">
        <v>-0.0455661925960694</v>
      </c>
      <c r="K381" s="13" t="n">
        <v>0.298737911793527</v>
      </c>
    </row>
    <row r="382" customFormat="false" ht="15" hidden="false" customHeight="false" outlineLevel="0" collapsed="false">
      <c r="A382" s="12" t="n">
        <v>1994</v>
      </c>
      <c r="B382" s="12" t="n">
        <v>9</v>
      </c>
      <c r="C382" s="13" t="n">
        <v>2.24599</v>
      </c>
      <c r="D382" s="13" t="n">
        <v>1.85770358647521</v>
      </c>
      <c r="E382" s="13" t="n">
        <v>0.388286413524786</v>
      </c>
      <c r="F382" s="13" t="n">
        <v>0.194570640471474</v>
      </c>
      <c r="G382" s="13" t="n">
        <v>-0.0194241478336725</v>
      </c>
      <c r="H382" s="13" t="n">
        <v>-0.0207892911957384</v>
      </c>
      <c r="I382" s="13" t="n">
        <v>-0.0281396507175096</v>
      </c>
      <c r="J382" s="13" t="n">
        <v>-0.0255691687054768</v>
      </c>
      <c r="K382" s="13" t="n">
        <v>0.287638031505709</v>
      </c>
    </row>
    <row r="383" customFormat="false" ht="15" hidden="false" customHeight="false" outlineLevel="0" collapsed="false">
      <c r="A383" s="12" t="n">
        <v>1994</v>
      </c>
      <c r="B383" s="12" t="n">
        <v>10</v>
      </c>
      <c r="C383" s="13" t="n">
        <v>2.39690322580645</v>
      </c>
      <c r="D383" s="13" t="n">
        <v>2.19119169080807</v>
      </c>
      <c r="E383" s="13" t="n">
        <v>0.205711534998381</v>
      </c>
      <c r="F383" s="13" t="n">
        <v>-0.0554513679715417</v>
      </c>
      <c r="G383" s="13" t="n">
        <v>0.00198993484410603</v>
      </c>
      <c r="H383" s="13" t="n">
        <v>-0.00182838949012838</v>
      </c>
      <c r="I383" s="13" t="n">
        <v>-0.0163569114141765</v>
      </c>
      <c r="J383" s="13" t="n">
        <v>-0.00349253177198215</v>
      </c>
      <c r="K383" s="13" t="n">
        <v>0.280850800802104</v>
      </c>
    </row>
    <row r="384" customFormat="false" ht="15" hidden="false" customHeight="false" outlineLevel="0" collapsed="false">
      <c r="A384" s="12" t="n">
        <v>1994</v>
      </c>
      <c r="B384" s="12" t="n">
        <v>11</v>
      </c>
      <c r="C384" s="13" t="n">
        <v>2.45329333333333</v>
      </c>
      <c r="D384" s="13" t="n">
        <v>2.24932080191854</v>
      </c>
      <c r="E384" s="13" t="n">
        <v>0.203972531414793</v>
      </c>
      <c r="F384" s="13" t="n">
        <v>-0.132219203603184</v>
      </c>
      <c r="G384" s="13" t="n">
        <v>0.0155672688515412</v>
      </c>
      <c r="H384" s="13" t="n">
        <v>0.020407687045143</v>
      </c>
      <c r="I384" s="13" t="n">
        <v>-0.00400894198472643</v>
      </c>
      <c r="J384" s="13" t="n">
        <v>0.0192870879600102</v>
      </c>
      <c r="K384" s="13" t="n">
        <v>0.284938633146009</v>
      </c>
    </row>
    <row r="385" customFormat="false" ht="15" hidden="false" customHeight="false" outlineLevel="0" collapsed="false">
      <c r="A385" s="12" t="n">
        <v>1994</v>
      </c>
      <c r="B385" s="12" t="n">
        <v>12</v>
      </c>
      <c r="C385" s="13" t="n">
        <v>2.56229032258065</v>
      </c>
      <c r="D385" s="13" t="n">
        <v>2.0831030903893</v>
      </c>
      <c r="E385" s="13" t="n">
        <v>0.47918723219135</v>
      </c>
      <c r="F385" s="13" t="n">
        <v>0.066826389311334</v>
      </c>
      <c r="G385" s="13" t="n">
        <v>0.0283976985158288</v>
      </c>
      <c r="H385" s="13" t="n">
        <v>0.0415660300378382</v>
      </c>
      <c r="I385" s="13" t="n">
        <v>0.00781627916493037</v>
      </c>
      <c r="J385" s="13" t="n">
        <v>0.0413178607941735</v>
      </c>
      <c r="K385" s="13" t="n">
        <v>0.293262974367245</v>
      </c>
    </row>
    <row r="386" customFormat="false" ht="15" hidden="false" customHeight="false" outlineLevel="0" collapsed="false">
      <c r="A386" s="12" t="n">
        <v>1995</v>
      </c>
      <c r="B386" s="12" t="n">
        <v>1</v>
      </c>
      <c r="C386" s="13" t="n">
        <v>2.61075483870968</v>
      </c>
      <c r="D386" s="13" t="n">
        <v>2.04605366968618</v>
      </c>
      <c r="E386" s="13" t="n">
        <v>0.564701169023501</v>
      </c>
      <c r="F386" s="13" t="n">
        <v>0.0930459555891537</v>
      </c>
      <c r="G386" s="13" t="n">
        <v>0.0456103875421444</v>
      </c>
      <c r="H386" s="13" t="n">
        <v>0.057054146953413</v>
      </c>
      <c r="I386" s="13" t="n">
        <v>0.0181616651663174</v>
      </c>
      <c r="J386" s="13" t="n">
        <v>0.0611571635858881</v>
      </c>
      <c r="K386" s="13" t="n">
        <v>0.289671850186585</v>
      </c>
    </row>
    <row r="387" customFormat="false" ht="15" hidden="false" customHeight="false" outlineLevel="0" collapsed="false">
      <c r="A387" s="12" t="n">
        <v>1995</v>
      </c>
      <c r="B387" s="12" t="n">
        <v>2</v>
      </c>
      <c r="C387" s="13" t="n">
        <v>2.58013571428571</v>
      </c>
      <c r="D387" s="13" t="n">
        <v>2.19279640025441</v>
      </c>
      <c r="E387" s="13" t="n">
        <v>0.387339314031302</v>
      </c>
      <c r="F387" s="13" t="n">
        <v>-0.106907388667246</v>
      </c>
      <c r="G387" s="13" t="n">
        <v>0.0594756925418524</v>
      </c>
      <c r="H387" s="13" t="n">
        <v>0.0630902893731076</v>
      </c>
      <c r="I387" s="13" t="n">
        <v>0.0262815406507749</v>
      </c>
      <c r="J387" s="13" t="n">
        <v>0.0774561767449618</v>
      </c>
      <c r="K387" s="13" t="n">
        <v>0.267943003387851</v>
      </c>
    </row>
    <row r="388" customFormat="false" ht="15" hidden="false" customHeight="false" outlineLevel="0" collapsed="false">
      <c r="A388" s="12" t="n">
        <v>1995</v>
      </c>
      <c r="B388" s="12" t="n">
        <v>3</v>
      </c>
      <c r="C388" s="13" t="n">
        <v>2.87457741935484</v>
      </c>
      <c r="D388" s="13" t="n">
        <v>2.3390457291369</v>
      </c>
      <c r="E388" s="13" t="n">
        <v>0.535531690217935</v>
      </c>
      <c r="F388" s="13" t="n">
        <v>0.0633196588026626</v>
      </c>
      <c r="G388" s="13" t="n">
        <v>0.0515466363129477</v>
      </c>
      <c r="H388" s="13" t="n">
        <v>0.0576234179850287</v>
      </c>
      <c r="I388" s="13" t="n">
        <v>0.0316948494599778</v>
      </c>
      <c r="J388" s="13" t="n">
        <v>0.0890391150567297</v>
      </c>
      <c r="K388" s="13" t="n">
        <v>0.242308012600588</v>
      </c>
    </row>
    <row r="389" customFormat="false" ht="15" hidden="false" customHeight="false" outlineLevel="0" collapsed="false">
      <c r="A389" s="12" t="n">
        <v>1995</v>
      </c>
      <c r="B389" s="12" t="n">
        <v>4</v>
      </c>
      <c r="C389" s="13" t="n">
        <v>2.7646</v>
      </c>
      <c r="D389" s="13" t="n">
        <v>2.409397907292</v>
      </c>
      <c r="E389" s="13" t="n">
        <v>0.355202092708005</v>
      </c>
      <c r="F389" s="13" t="n">
        <v>-0.0565724709340422</v>
      </c>
      <c r="G389" s="13" t="n">
        <v>0.00868197361680311</v>
      </c>
      <c r="H389" s="13" t="n">
        <v>0.0409009388233484</v>
      </c>
      <c r="I389" s="13" t="n">
        <v>0.0342073244006974</v>
      </c>
      <c r="J389" s="13" t="n">
        <v>0.094972140192796</v>
      </c>
      <c r="K389" s="13" t="n">
        <v>0.233012186608402</v>
      </c>
    </row>
    <row r="390" customFormat="false" ht="15" hidden="false" customHeight="false" outlineLevel="0" collapsed="false">
      <c r="A390" s="12" t="n">
        <v>1995</v>
      </c>
      <c r="B390" s="12" t="n">
        <v>5</v>
      </c>
      <c r="C390" s="13" t="n">
        <v>2.48024516129032</v>
      </c>
      <c r="D390" s="13" t="n">
        <v>2.16465936904437</v>
      </c>
      <c r="E390" s="13" t="n">
        <v>0.315585792245952</v>
      </c>
      <c r="F390" s="13" t="n">
        <v>-0.0131091399810296</v>
      </c>
      <c r="G390" s="13" t="n">
        <v>-0.0588876185460321</v>
      </c>
      <c r="H390" s="13" t="n">
        <v>0.0155413185839437</v>
      </c>
      <c r="I390" s="13" t="n">
        <v>0.0339025204151635</v>
      </c>
      <c r="J390" s="13" t="n">
        <v>0.094618025497693</v>
      </c>
      <c r="K390" s="13" t="n">
        <v>0.243520686276213</v>
      </c>
    </row>
    <row r="391" customFormat="false" ht="15" hidden="false" customHeight="false" outlineLevel="0" collapsed="false">
      <c r="A391" s="12" t="n">
        <v>1995</v>
      </c>
      <c r="B391" s="12" t="n">
        <v>6</v>
      </c>
      <c r="C391" s="13" t="n">
        <v>1.95335666666667</v>
      </c>
      <c r="D391" s="13" t="n">
        <v>1.58653360977564</v>
      </c>
      <c r="E391" s="13" t="n">
        <v>0.366823056891032</v>
      </c>
      <c r="F391" s="13" t="n">
        <v>0.119687771119292</v>
      </c>
      <c r="G391" s="13" t="n">
        <v>-0.114412275163299</v>
      </c>
      <c r="H391" s="13" t="n">
        <v>-0.0139185214378125</v>
      </c>
      <c r="I391" s="13" t="n">
        <v>0.0311050672445584</v>
      </c>
      <c r="J391" s="13" t="n">
        <v>0.0876738723061188</v>
      </c>
      <c r="K391" s="13" t="n">
        <v>0.256687142822174</v>
      </c>
    </row>
    <row r="392" customFormat="false" ht="15" hidden="false" customHeight="false" outlineLevel="0" collapsed="false">
      <c r="A392" s="12" t="n">
        <v>1995</v>
      </c>
      <c r="B392" s="12" t="n">
        <v>7</v>
      </c>
      <c r="C392" s="13" t="n">
        <v>1.3769064516129</v>
      </c>
      <c r="D392" s="13" t="n">
        <v>1.25080987212066</v>
      </c>
      <c r="E392" s="13" t="n">
        <v>0.126096579492246</v>
      </c>
      <c r="F392" s="13" t="n">
        <v>-0.0714619807664123</v>
      </c>
      <c r="G392" s="13" t="n">
        <v>-0.114838074608496</v>
      </c>
      <c r="H392" s="13" t="n">
        <v>-0.0419112987285483</v>
      </c>
      <c r="I392" s="13" t="n">
        <v>0.0263223887440586</v>
      </c>
      <c r="J392" s="13" t="n">
        <v>0.0741904132446733</v>
      </c>
      <c r="K392" s="13" t="n">
        <v>0.253795131606971</v>
      </c>
    </row>
    <row r="393" customFormat="false" ht="15" hidden="false" customHeight="false" outlineLevel="0" collapsed="false">
      <c r="A393" s="12" t="n">
        <v>1995</v>
      </c>
      <c r="B393" s="12" t="n">
        <v>8</v>
      </c>
      <c r="C393" s="13" t="n">
        <v>1.59330967741936</v>
      </c>
      <c r="D393" s="13" t="n">
        <v>1.44171407301903</v>
      </c>
      <c r="E393" s="13" t="n">
        <v>0.151595604400324</v>
      </c>
      <c r="F393" s="13" t="n">
        <v>-0.05020706693635</v>
      </c>
      <c r="G393" s="13" t="n">
        <v>-0.0440456280910043</v>
      </c>
      <c r="H393" s="13" t="n">
        <v>-0.062974122087374</v>
      </c>
      <c r="I393" s="13" t="n">
        <v>0.0201731513870444</v>
      </c>
      <c r="J393" s="13" t="n">
        <v>0.0545725515368517</v>
      </c>
      <c r="K393" s="13" t="n">
        <v>0.234076718591156</v>
      </c>
    </row>
    <row r="394" customFormat="false" ht="15" hidden="false" customHeight="false" outlineLevel="0" collapsed="false">
      <c r="A394" s="12" t="n">
        <v>1995</v>
      </c>
      <c r="B394" s="12" t="n">
        <v>9</v>
      </c>
      <c r="C394" s="13" t="n">
        <v>2.19083</v>
      </c>
      <c r="D394" s="13" t="n">
        <v>1.85028982378568</v>
      </c>
      <c r="E394" s="13" t="n">
        <v>0.340540176214318</v>
      </c>
      <c r="F394" s="13" t="n">
        <v>0.0908263485580631</v>
      </c>
      <c r="G394" s="13" t="n">
        <v>0.0663052961879123</v>
      </c>
      <c r="H394" s="13" t="n">
        <v>-0.0728850225403601</v>
      </c>
      <c r="I394" s="13" t="n">
        <v>0.0133116460907615</v>
      </c>
      <c r="J394" s="13" t="n">
        <v>0.0295617026085323</v>
      </c>
      <c r="K394" s="13" t="n">
        <v>0.213420205309409</v>
      </c>
    </row>
    <row r="395" customFormat="false" ht="15" hidden="false" customHeight="false" outlineLevel="0" collapsed="false">
      <c r="A395" s="12" t="n">
        <v>1995</v>
      </c>
      <c r="B395" s="12" t="n">
        <v>10</v>
      </c>
      <c r="C395" s="13" t="n">
        <v>2.32957096774194</v>
      </c>
      <c r="D395" s="13" t="n">
        <v>2.18029229886411</v>
      </c>
      <c r="E395" s="13" t="n">
        <v>0.149278668877827</v>
      </c>
      <c r="F395" s="13" t="n">
        <v>-0.142641452004412</v>
      </c>
      <c r="G395" s="13" t="n">
        <v>0.149760869427421</v>
      </c>
      <c r="H395" s="13" t="n">
        <v>-0.0695552876821159</v>
      </c>
      <c r="I395" s="13" t="n">
        <v>0.00635711165144878</v>
      </c>
      <c r="J395" s="13" t="n">
        <v>0.00020120278348686</v>
      </c>
      <c r="K395" s="13" t="n">
        <v>0.205156224701998</v>
      </c>
    </row>
    <row r="396" customFormat="false" ht="15" hidden="false" customHeight="false" outlineLevel="0" collapsed="false">
      <c r="A396" s="12" t="n">
        <v>1995</v>
      </c>
      <c r="B396" s="12" t="n">
        <v>11</v>
      </c>
      <c r="C396" s="13" t="n">
        <v>2.54510666666667</v>
      </c>
      <c r="D396" s="13" t="n">
        <v>2.23477061788753</v>
      </c>
      <c r="E396" s="13" t="n">
        <v>0.310336048779135</v>
      </c>
      <c r="F396" s="13" t="n">
        <v>0.0422377886094039</v>
      </c>
      <c r="G396" s="13" t="n">
        <v>0.1486142776544</v>
      </c>
      <c r="H396" s="13" t="n">
        <v>-0.0534847363281263</v>
      </c>
      <c r="I396" s="13" t="n">
        <v>-0.000164250559509143</v>
      </c>
      <c r="J396" s="13" t="n">
        <v>-0.0322134175763002</v>
      </c>
      <c r="K396" s="13" t="n">
        <v>0.205346386979267</v>
      </c>
    </row>
    <row r="397" customFormat="false" ht="15" hidden="false" customHeight="false" outlineLevel="0" collapsed="false">
      <c r="A397" s="12" t="n">
        <v>1995</v>
      </c>
      <c r="B397" s="12" t="n">
        <v>12</v>
      </c>
      <c r="C397" s="13" t="n">
        <v>2.46948387096774</v>
      </c>
      <c r="D397" s="13" t="n">
        <v>2.06473949115566</v>
      </c>
      <c r="E397" s="13" t="n">
        <v>0.404744379812083</v>
      </c>
      <c r="F397" s="13" t="n">
        <v>0.247361455740634</v>
      </c>
      <c r="G397" s="13" t="n">
        <v>0.0574598048331716</v>
      </c>
      <c r="H397" s="13" t="n">
        <v>-0.0276816691377987</v>
      </c>
      <c r="I397" s="13" t="n">
        <v>-0.0058589423882413</v>
      </c>
      <c r="J397" s="13" t="n">
        <v>-0.0661970111552642</v>
      </c>
      <c r="K397" s="13" t="n">
        <v>0.199660741919582</v>
      </c>
    </row>
    <row r="398" customFormat="false" ht="15" hidden="false" customHeight="false" outlineLevel="0" collapsed="false">
      <c r="A398" s="12" t="n">
        <v>1996</v>
      </c>
      <c r="B398" s="12" t="n">
        <v>1</v>
      </c>
      <c r="C398" s="13" t="n">
        <v>1.81501290322581</v>
      </c>
      <c r="D398" s="13" t="n">
        <v>2.02371725153514</v>
      </c>
      <c r="E398" s="13" t="n">
        <v>-0.208704348309336</v>
      </c>
      <c r="F398" s="13" t="n">
        <v>-0.214773308248439</v>
      </c>
      <c r="G398" s="13" t="n">
        <v>-0.0686464836876356</v>
      </c>
      <c r="H398" s="13" t="n">
        <v>0.00293603603537375</v>
      </c>
      <c r="I398" s="13" t="n">
        <v>-0.0104845735577555</v>
      </c>
      <c r="J398" s="13" t="n">
        <v>-0.100147402309528</v>
      </c>
      <c r="K398" s="13" t="n">
        <v>0.182411383458649</v>
      </c>
    </row>
    <row r="399" customFormat="false" ht="15" hidden="false" customHeight="false" outlineLevel="0" collapsed="false">
      <c r="A399" s="12" t="n">
        <v>1996</v>
      </c>
      <c r="B399" s="12" t="n">
        <v>2</v>
      </c>
      <c r="C399" s="13" t="n">
        <v>2.01610344827586</v>
      </c>
      <c r="D399" s="13" t="n">
        <v>2.16633165536739</v>
      </c>
      <c r="E399" s="13" t="n">
        <v>-0.150228207091525</v>
      </c>
      <c r="F399" s="13" t="n">
        <v>-0.0474828377122112</v>
      </c>
      <c r="G399" s="13" t="n">
        <v>-0.151015135648391</v>
      </c>
      <c r="H399" s="13" t="n">
        <v>0.032532331601009</v>
      </c>
      <c r="I399" s="13" t="n">
        <v>-0.0139469594348425</v>
      </c>
      <c r="J399" s="13" t="n">
        <v>-0.132424523477939</v>
      </c>
      <c r="K399" s="13" t="n">
        <v>0.16210891758085</v>
      </c>
    </row>
    <row r="400" customFormat="false" ht="15" hidden="false" customHeight="false" outlineLevel="0" collapsed="false">
      <c r="A400" s="12" t="n">
        <v>1996</v>
      </c>
      <c r="B400" s="12" t="n">
        <v>3</v>
      </c>
      <c r="C400" s="13" t="n">
        <v>2.251</v>
      </c>
      <c r="D400" s="13" t="n">
        <v>2.30830171662823</v>
      </c>
      <c r="E400" s="13" t="n">
        <v>-0.0573017166282321</v>
      </c>
      <c r="F400" s="13" t="n">
        <v>0.0593669373392152</v>
      </c>
      <c r="G400" s="13" t="n">
        <v>-0.142029627877908</v>
      </c>
      <c r="H400" s="13" t="n">
        <v>0.0555287019102269</v>
      </c>
      <c r="I400" s="13" t="n">
        <v>-0.0162786019860113</v>
      </c>
      <c r="J400" s="13" t="n">
        <v>-0.161432087335061</v>
      </c>
      <c r="K400" s="13" t="n">
        <v>0.147542961321307</v>
      </c>
    </row>
    <row r="401" customFormat="false" ht="15" hidden="false" customHeight="false" outlineLevel="0" collapsed="false">
      <c r="A401" s="12" t="n">
        <v>1996</v>
      </c>
      <c r="B401" s="12" t="n">
        <v>4</v>
      </c>
      <c r="C401" s="13" t="n">
        <v>2.29696</v>
      </c>
      <c r="D401" s="13" t="n">
        <v>2.37422891651521</v>
      </c>
      <c r="E401" s="13" t="n">
        <v>-0.0772689165152116</v>
      </c>
      <c r="F401" s="13" t="n">
        <v>-0.0221976199996011</v>
      </c>
      <c r="G401" s="13" t="n">
        <v>-0.0554408575520734</v>
      </c>
      <c r="H401" s="13" t="n">
        <v>0.0677188053121917</v>
      </c>
      <c r="I401" s="13" t="n">
        <v>-0.0176034829205838</v>
      </c>
      <c r="J401" s="13" t="n">
        <v>-0.185697561393256</v>
      </c>
      <c r="K401" s="13" t="n">
        <v>0.135951800038111</v>
      </c>
    </row>
    <row r="402" customFormat="false" ht="15" hidden="false" customHeight="false" outlineLevel="0" collapsed="false">
      <c r="A402" s="12" t="n">
        <v>1996</v>
      </c>
      <c r="B402" s="12" t="n">
        <v>5</v>
      </c>
      <c r="C402" s="13" t="n">
        <v>2.18589677419355</v>
      </c>
      <c r="D402" s="13" t="n">
        <v>2.12492557292391</v>
      </c>
      <c r="E402" s="13" t="n">
        <v>0.0609712012696402</v>
      </c>
      <c r="F402" s="13" t="n">
        <v>0.0479113860988282</v>
      </c>
      <c r="G402" s="13" t="n">
        <v>0.0492696241683089</v>
      </c>
      <c r="H402" s="13" t="n">
        <v>0.0670913741938175</v>
      </c>
      <c r="I402" s="13" t="n">
        <v>-0.0180945759348327</v>
      </c>
      <c r="J402" s="13" t="n">
        <v>-0.203946457982037</v>
      </c>
      <c r="K402" s="13" t="n">
        <v>0.118739850725555</v>
      </c>
    </row>
    <row r="403" customFormat="false" ht="15" hidden="false" customHeight="false" outlineLevel="0" collapsed="false">
      <c r="A403" s="12" t="n">
        <v>1996</v>
      </c>
      <c r="B403" s="12" t="n">
        <v>6</v>
      </c>
      <c r="C403" s="13" t="n">
        <v>1.58321333333333</v>
      </c>
      <c r="D403" s="13" t="n">
        <v>1.54210170595048</v>
      </c>
      <c r="E403" s="13" t="n">
        <v>0.0411116273828562</v>
      </c>
      <c r="F403" s="13" t="n">
        <v>0.013235291239795</v>
      </c>
      <c r="G403" s="13" t="n">
        <v>0.112023387514934</v>
      </c>
      <c r="H403" s="13" t="n">
        <v>0.0541935855892963</v>
      </c>
      <c r="I403" s="13" t="n">
        <v>-0.0179310413965051</v>
      </c>
      <c r="J403" s="13" t="n">
        <v>-0.215167532478131</v>
      </c>
      <c r="K403" s="13" t="n">
        <v>0.0947579369134671</v>
      </c>
    </row>
    <row r="404" customFormat="false" ht="15" hidden="false" customHeight="false" outlineLevel="0" collapsed="false">
      <c r="A404" s="12" t="n">
        <v>1996</v>
      </c>
      <c r="B404" s="12" t="n">
        <v>7</v>
      </c>
      <c r="C404" s="13" t="n">
        <v>1.19779032258065</v>
      </c>
      <c r="D404" s="13" t="n">
        <v>1.20155370970235</v>
      </c>
      <c r="E404" s="13" t="n">
        <v>-0.00376338712170787</v>
      </c>
      <c r="F404" s="13" t="n">
        <v>0.0168763003046077</v>
      </c>
      <c r="G404" s="13" t="n">
        <v>0.109349337991036</v>
      </c>
      <c r="H404" s="13" t="n">
        <v>0.0319647771364352</v>
      </c>
      <c r="I404" s="13" t="n">
        <v>-0.017261662590855</v>
      </c>
      <c r="J404" s="13" t="n">
        <v>-0.218666110194075</v>
      </c>
      <c r="K404" s="13" t="n">
        <v>0.0739739702311431</v>
      </c>
    </row>
    <row r="405" customFormat="false" ht="15" hidden="false" customHeight="false" outlineLevel="0" collapsed="false">
      <c r="A405" s="12" t="n">
        <v>1996</v>
      </c>
      <c r="B405" s="12" t="n">
        <v>8</v>
      </c>
      <c r="C405" s="13" t="n">
        <v>1.19917741935484</v>
      </c>
      <c r="D405" s="13" t="n">
        <v>1.38751526282723</v>
      </c>
      <c r="E405" s="13" t="n">
        <v>-0.188337843472395</v>
      </c>
      <c r="F405" s="13" t="n">
        <v>-0.0891713378668075</v>
      </c>
      <c r="G405" s="13" t="n">
        <v>0.0587148850720842</v>
      </c>
      <c r="H405" s="13" t="n">
        <v>0.00508216991251816</v>
      </c>
      <c r="I405" s="13" t="n">
        <v>-0.0161798025199198</v>
      </c>
      <c r="J405" s="13" t="n">
        <v>-0.214103245874017</v>
      </c>
      <c r="K405" s="13" t="n">
        <v>0.0673194878037471</v>
      </c>
    </row>
    <row r="406" customFormat="false" ht="15" hidden="false" customHeight="false" outlineLevel="0" collapsed="false">
      <c r="A406" s="12" t="n">
        <v>1996</v>
      </c>
      <c r="B406" s="12" t="n">
        <v>9</v>
      </c>
      <c r="C406" s="13" t="n">
        <v>1.62318666666667</v>
      </c>
      <c r="D406" s="13" t="n">
        <v>1.79103832996682</v>
      </c>
      <c r="E406" s="13" t="n">
        <v>-0.167851663300151</v>
      </c>
      <c r="F406" s="13" t="n">
        <v>0.000560481070601211</v>
      </c>
      <c r="G406" s="13" t="n">
        <v>-0.00434247731475035</v>
      </c>
      <c r="H406" s="13" t="n">
        <v>-0.0210374803335122</v>
      </c>
      <c r="I406" s="13" t="n">
        <v>-0.0147131997098273</v>
      </c>
      <c r="J406" s="13" t="n">
        <v>-0.201518764119088</v>
      </c>
      <c r="K406" s="13" t="n">
        <v>0.0731997771064253</v>
      </c>
    </row>
    <row r="407" customFormat="false" ht="15" hidden="false" customHeight="false" outlineLevel="0" collapsed="false">
      <c r="A407" s="12" t="n">
        <v>1996</v>
      </c>
      <c r="B407" s="12" t="n">
        <v>10</v>
      </c>
      <c r="C407" s="13" t="n">
        <v>1.96282903225807</v>
      </c>
      <c r="D407" s="13" t="n">
        <v>2.11588700983204</v>
      </c>
      <c r="E407" s="13" t="n">
        <v>-0.15305797757398</v>
      </c>
      <c r="F407" s="13" t="n">
        <v>0.0582181826401874</v>
      </c>
      <c r="G407" s="13" t="n">
        <v>-0.051489113592486</v>
      </c>
      <c r="H407" s="13" t="n">
        <v>-0.0413653714940268</v>
      </c>
      <c r="I407" s="13" t="n">
        <v>-0.0128295598088062</v>
      </c>
      <c r="J407" s="13" t="n">
        <v>-0.181336583978854</v>
      </c>
      <c r="K407" s="13" t="n">
        <v>0.0757444686600059</v>
      </c>
    </row>
    <row r="408" customFormat="false" ht="15" hidden="false" customHeight="false" outlineLevel="0" collapsed="false">
      <c r="A408" s="12" t="n">
        <v>1996</v>
      </c>
      <c r="B408" s="12" t="n">
        <v>11</v>
      </c>
      <c r="C408" s="13" t="n">
        <v>1.90832333333333</v>
      </c>
      <c r="D408" s="13" t="n">
        <v>2.16511989463176</v>
      </c>
      <c r="E408" s="13" t="n">
        <v>-0.256796561298424</v>
      </c>
      <c r="F408" s="13" t="n">
        <v>-0.0278670518989144</v>
      </c>
      <c r="G408" s="13" t="n">
        <v>-0.0711307099055492</v>
      </c>
      <c r="H408" s="13" t="n">
        <v>-0.0522777072930528</v>
      </c>
      <c r="I408" s="13" t="n">
        <v>-0.0104564627566657</v>
      </c>
      <c r="J408" s="13" t="n">
        <v>-0.15435127133339</v>
      </c>
      <c r="K408" s="13" t="n">
        <v>0.059286641889148</v>
      </c>
    </row>
    <row r="409" customFormat="false" ht="15" hidden="false" customHeight="false" outlineLevel="0" collapsed="false">
      <c r="A409" s="12" t="n">
        <v>1996</v>
      </c>
      <c r="B409" s="12" t="n">
        <v>12</v>
      </c>
      <c r="C409" s="13" t="n">
        <v>1.82697419354839</v>
      </c>
      <c r="D409" s="13" t="n">
        <v>1.98976169096878</v>
      </c>
      <c r="E409" s="13" t="n">
        <v>-0.162787497420388</v>
      </c>
      <c r="F409" s="13" t="n">
        <v>0.0570475655775014</v>
      </c>
      <c r="G409" s="13" t="n">
        <v>-0.0639838963962543</v>
      </c>
      <c r="H409" s="13" t="n">
        <v>-0.0522496129258963</v>
      </c>
      <c r="I409" s="13" t="n">
        <v>-0.00751192276317053</v>
      </c>
      <c r="J409" s="13" t="n">
        <v>-0.121695569664115</v>
      </c>
      <c r="K409" s="13" t="n">
        <v>0.0256059387515463</v>
      </c>
    </row>
    <row r="410" customFormat="false" ht="15" hidden="false" customHeight="false" outlineLevel="0" collapsed="false">
      <c r="A410" s="12" t="n">
        <v>1997</v>
      </c>
      <c r="B410" s="12" t="n">
        <v>1</v>
      </c>
      <c r="C410" s="13" t="n">
        <v>1.80203870967742</v>
      </c>
      <c r="D410" s="13" t="n">
        <v>1.94334122534252</v>
      </c>
      <c r="E410" s="13" t="n">
        <v>-0.141302515665097</v>
      </c>
      <c r="F410" s="13" t="n">
        <v>0.0322126982794396</v>
      </c>
      <c r="G410" s="13" t="n">
        <v>-0.0370617772174729</v>
      </c>
      <c r="H410" s="13" t="n">
        <v>-0.0420855807030023</v>
      </c>
      <c r="I410" s="13" t="n">
        <v>-0.0039403017018447</v>
      </c>
      <c r="J410" s="13" t="n">
        <v>-0.0847896934306085</v>
      </c>
      <c r="K410" s="13" t="n">
        <v>-0.00563786089160795</v>
      </c>
    </row>
    <row r="411" customFormat="false" ht="15" hidden="false" customHeight="false" outlineLevel="0" collapsed="false">
      <c r="A411" s="12" t="n">
        <v>1997</v>
      </c>
      <c r="B411" s="12" t="n">
        <v>2</v>
      </c>
      <c r="C411" s="13" t="n">
        <v>1.73308214285714</v>
      </c>
      <c r="D411" s="13" t="n">
        <v>2.08049721688665</v>
      </c>
      <c r="E411" s="13" t="n">
        <v>-0.347415074029508</v>
      </c>
      <c r="F411" s="13" t="n">
        <v>-0.258688934876031</v>
      </c>
      <c r="G411" s="13" t="n">
        <v>-0.0019738000941834</v>
      </c>
      <c r="H411" s="13" t="n">
        <v>-0.0246480301641885</v>
      </c>
      <c r="I411" s="13" t="n">
        <v>0.000252597842642387</v>
      </c>
      <c r="J411" s="13" t="n">
        <v>-0.0452743302662609</v>
      </c>
      <c r="K411" s="13" t="n">
        <v>-0.0170825764714875</v>
      </c>
    </row>
    <row r="412" customFormat="false" ht="15" hidden="false" customHeight="false" outlineLevel="0" collapsed="false">
      <c r="A412" s="12" t="n">
        <v>1997</v>
      </c>
      <c r="B412" s="12" t="n">
        <v>3</v>
      </c>
      <c r="C412" s="13" t="n">
        <v>2.44222580645161</v>
      </c>
      <c r="D412" s="13" t="n">
        <v>2.21696008168137</v>
      </c>
      <c r="E412" s="13" t="n">
        <v>0.225265724770248</v>
      </c>
      <c r="F412" s="13" t="n">
        <v>0.215515279962171</v>
      </c>
      <c r="G412" s="13" t="n">
        <v>0.0272970380043857</v>
      </c>
      <c r="H412" s="13" t="n">
        <v>-0.00415465386534735</v>
      </c>
      <c r="I412" s="13" t="n">
        <v>0.00497143129820576</v>
      </c>
      <c r="J412" s="13" t="n">
        <v>-0.00493048613892836</v>
      </c>
      <c r="K412" s="13" t="n">
        <v>-0.0134328844902386</v>
      </c>
    </row>
    <row r="413" customFormat="false" ht="15" hidden="false" customHeight="false" outlineLevel="0" collapsed="false">
      <c r="A413" s="12" t="n">
        <v>1997</v>
      </c>
      <c r="B413" s="12" t="n">
        <v>4</v>
      </c>
      <c r="C413" s="13" t="n">
        <v>2.36811</v>
      </c>
      <c r="D413" s="13" t="n">
        <v>2.27734311090191</v>
      </c>
      <c r="E413" s="13" t="n">
        <v>0.0907668890980932</v>
      </c>
      <c r="F413" s="13" t="n">
        <v>0.00595994913072473</v>
      </c>
      <c r="G413" s="13" t="n">
        <v>0.0415605570828544</v>
      </c>
      <c r="H413" s="13" t="n">
        <v>0.0147924329682826</v>
      </c>
      <c r="I413" s="13" t="n">
        <v>0.0100154961212071</v>
      </c>
      <c r="J413" s="13" t="n">
        <v>0.0344095877843283</v>
      </c>
      <c r="K413" s="13" t="n">
        <v>-0.015971133989304</v>
      </c>
    </row>
    <row r="414" customFormat="false" ht="15" hidden="false" customHeight="false" outlineLevel="0" collapsed="false">
      <c r="A414" s="12" t="n">
        <v>1997</v>
      </c>
      <c r="B414" s="12" t="n">
        <v>5</v>
      </c>
      <c r="C414" s="13" t="n">
        <v>2.16611612903226</v>
      </c>
      <c r="D414" s="13" t="n">
        <v>2.02247080737666</v>
      </c>
      <c r="E414" s="13" t="n">
        <v>0.143645321655594</v>
      </c>
      <c r="F414" s="13" t="n">
        <v>0.0234032360958464</v>
      </c>
      <c r="G414" s="13" t="n">
        <v>0.042830898295459</v>
      </c>
      <c r="H414" s="13" t="n">
        <v>0.0282272651431452</v>
      </c>
      <c r="I414" s="13" t="n">
        <v>0.0150788568480177</v>
      </c>
      <c r="J414" s="13" t="n">
        <v>0.070955283015361</v>
      </c>
      <c r="K414" s="13" t="n">
        <v>-0.036850217742235</v>
      </c>
    </row>
    <row r="415" customFormat="false" ht="15" hidden="false" customHeight="false" outlineLevel="0" collapsed="false">
      <c r="A415" s="12" t="n">
        <v>1997</v>
      </c>
      <c r="B415" s="12" t="n">
        <v>6</v>
      </c>
      <c r="C415" s="13" t="n">
        <v>1.47762666666667</v>
      </c>
      <c r="D415" s="13" t="n">
        <v>1.43406571677186</v>
      </c>
      <c r="E415" s="13" t="n">
        <v>0.0435609498948104</v>
      </c>
      <c r="F415" s="13" t="n">
        <v>-0.0876919515417069</v>
      </c>
      <c r="G415" s="13" t="n">
        <v>0.0402899018428567</v>
      </c>
      <c r="H415" s="13" t="n">
        <v>0.0336651819613783</v>
      </c>
      <c r="I415" s="13" t="n">
        <v>0.0197678839890061</v>
      </c>
      <c r="J415" s="13" t="n">
        <v>0.103048807171015</v>
      </c>
      <c r="K415" s="13" t="n">
        <v>-0.0655188735277393</v>
      </c>
    </row>
    <row r="416" customFormat="false" ht="15" hidden="false" customHeight="false" outlineLevel="0" collapsed="false">
      <c r="A416" s="12" t="n">
        <v>1997</v>
      </c>
      <c r="B416" s="12" t="n">
        <v>7</v>
      </c>
      <c r="C416" s="13" t="n">
        <v>1.19127419354839</v>
      </c>
      <c r="D416" s="13" t="n">
        <v>1.08793706379236</v>
      </c>
      <c r="E416" s="13" t="n">
        <v>0.103337129756024</v>
      </c>
      <c r="F416" s="13" t="n">
        <v>-0.0335385132264979</v>
      </c>
      <c r="G416" s="13" t="n">
        <v>0.0369538661840823</v>
      </c>
      <c r="H416" s="13" t="n">
        <v>0.0305904930147978</v>
      </c>
      <c r="I416" s="13" t="n">
        <v>0.0236352372023528</v>
      </c>
      <c r="J416" s="13" t="n">
        <v>0.129249243323268</v>
      </c>
      <c r="K416" s="13" t="n">
        <v>-0.0835531967419787</v>
      </c>
    </row>
    <row r="417" customFormat="false" ht="15" hidden="false" customHeight="false" outlineLevel="0" collapsed="false">
      <c r="A417" s="12" t="n">
        <v>1997</v>
      </c>
      <c r="B417" s="12" t="n">
        <v>8</v>
      </c>
      <c r="C417" s="13" t="n">
        <v>1.42251290322581</v>
      </c>
      <c r="D417" s="13" t="n">
        <v>1.26833162595093</v>
      </c>
      <c r="E417" s="13" t="n">
        <v>0.154181277274881</v>
      </c>
      <c r="F417" s="13" t="n">
        <v>0.0236585914582334</v>
      </c>
      <c r="G417" s="13" t="n">
        <v>0.0221032519790611</v>
      </c>
      <c r="H417" s="13" t="n">
        <v>0.0204872018797761</v>
      </c>
      <c r="I417" s="13" t="n">
        <v>0.0262269414345997</v>
      </c>
      <c r="J417" s="13" t="n">
        <v>0.148404698327757</v>
      </c>
      <c r="K417" s="13" t="n">
        <v>-0.0866994078045462</v>
      </c>
    </row>
    <row r="418" customFormat="false" ht="15" hidden="false" customHeight="false" outlineLevel="0" collapsed="false">
      <c r="A418" s="12" t="n">
        <v>1997</v>
      </c>
      <c r="B418" s="12" t="n">
        <v>9</v>
      </c>
      <c r="C418" s="13" t="n">
        <v>1.79972333333333</v>
      </c>
      <c r="D418" s="13" t="n">
        <v>1.6663146971662</v>
      </c>
      <c r="E418" s="13" t="n">
        <v>0.133408636167136</v>
      </c>
      <c r="F418" s="13" t="n">
        <v>0.044290277754752</v>
      </c>
      <c r="G418" s="13" t="n">
        <v>-0.0176525719271099</v>
      </c>
      <c r="H418" s="13" t="n">
        <v>0.00641660827003987</v>
      </c>
      <c r="I418" s="13" t="n">
        <v>0.0271371974585626</v>
      </c>
      <c r="J418" s="13" t="n">
        <v>0.159708626129222</v>
      </c>
      <c r="K418" s="13" t="n">
        <v>-0.0864915015183302</v>
      </c>
    </row>
    <row r="419" customFormat="false" ht="15" hidden="false" customHeight="false" outlineLevel="0" collapsed="false">
      <c r="A419" s="12" t="n">
        <v>1997</v>
      </c>
      <c r="B419" s="12" t="n">
        <v>10</v>
      </c>
      <c r="C419" s="13" t="n">
        <v>2.06327741935484</v>
      </c>
      <c r="D419" s="13" t="n">
        <v>1.98566389706082</v>
      </c>
      <c r="E419" s="13" t="n">
        <v>0.0776135222940193</v>
      </c>
      <c r="F419" s="13" t="n">
        <v>0.0655531313033862</v>
      </c>
      <c r="G419" s="13" t="n">
        <v>-0.0759639720153807</v>
      </c>
      <c r="H419" s="13" t="n">
        <v>-0.00775362766496905</v>
      </c>
      <c r="I419" s="13" t="n">
        <v>0.0260642037683561</v>
      </c>
      <c r="J419" s="13" t="n">
        <v>0.162737446758724</v>
      </c>
      <c r="K419" s="13" t="n">
        <v>-0.0930236598560975</v>
      </c>
    </row>
    <row r="420" customFormat="false" ht="15" hidden="false" customHeight="false" outlineLevel="0" collapsed="false">
      <c r="A420" s="12" t="n">
        <v>1997</v>
      </c>
      <c r="B420" s="12" t="n">
        <v>11</v>
      </c>
      <c r="C420" s="13" t="n">
        <v>1.94257333333333</v>
      </c>
      <c r="D420" s="13" t="n">
        <v>2.02945149077804</v>
      </c>
      <c r="E420" s="13" t="n">
        <v>-0.0868781574447053</v>
      </c>
      <c r="F420" s="13" t="n">
        <v>-0.0276406164114327</v>
      </c>
      <c r="G420" s="13" t="n">
        <v>-0.117479381207597</v>
      </c>
      <c r="H420" s="13" t="n">
        <v>-0.0182883256599639</v>
      </c>
      <c r="I420" s="13" t="n">
        <v>0.0228597340578356</v>
      </c>
      <c r="J420" s="13" t="n">
        <v>0.157467730865056</v>
      </c>
      <c r="K420" s="13" t="n">
        <v>-0.103797299088603</v>
      </c>
    </row>
    <row r="421" customFormat="false" ht="15" hidden="false" customHeight="false" outlineLevel="0" collapsed="false">
      <c r="A421" s="12" t="n">
        <v>1997</v>
      </c>
      <c r="B421" s="12" t="n">
        <v>12</v>
      </c>
      <c r="C421" s="13" t="n">
        <v>1.65132580645161</v>
      </c>
      <c r="D421" s="13" t="n">
        <v>1.84871596956369</v>
      </c>
      <c r="E421" s="13" t="n">
        <v>-0.197390163112077</v>
      </c>
      <c r="F421" s="13" t="n">
        <v>-0.12525822689747</v>
      </c>
      <c r="G421" s="13" t="n">
        <v>-0.0988368691399683</v>
      </c>
      <c r="H421" s="13" t="n">
        <v>-0.0224759474154559</v>
      </c>
      <c r="I421" s="13" t="n">
        <v>0.0175655991476491</v>
      </c>
      <c r="J421" s="13" t="n">
        <v>0.144272430729779</v>
      </c>
      <c r="K421" s="13" t="n">
        <v>-0.112657149536612</v>
      </c>
    </row>
    <row r="422" customFormat="false" ht="15" hidden="false" customHeight="false" outlineLevel="0" collapsed="false">
      <c r="A422" s="12" t="n">
        <v>1998</v>
      </c>
      <c r="B422" s="12" t="n">
        <v>1</v>
      </c>
      <c r="C422" s="13" t="n">
        <v>1.78269677419355</v>
      </c>
      <c r="D422" s="13" t="n">
        <v>1.79700001537911</v>
      </c>
      <c r="E422" s="13" t="n">
        <v>-0.0143032411855626</v>
      </c>
      <c r="F422" s="13" t="n">
        <v>0.002380120190216</v>
      </c>
      <c r="G422" s="13" t="n">
        <v>-0.00809883142555471</v>
      </c>
      <c r="H422" s="13" t="n">
        <v>-0.0192697549829785</v>
      </c>
      <c r="I422" s="13" t="n">
        <v>0.0104313954614166</v>
      </c>
      <c r="J422" s="13" t="n">
        <v>0.123896780531384</v>
      </c>
      <c r="K422" s="13" t="n">
        <v>-0.123642950960046</v>
      </c>
    </row>
    <row r="423" customFormat="false" ht="15" hidden="false" customHeight="false" outlineLevel="0" collapsed="false">
      <c r="A423" s="12" t="n">
        <v>1998</v>
      </c>
      <c r="B423" s="12" t="n">
        <v>2</v>
      </c>
      <c r="C423" s="13" t="n">
        <v>2.10531071428571</v>
      </c>
      <c r="D423" s="13" t="n">
        <v>1.92895623229516</v>
      </c>
      <c r="E423" s="13" t="n">
        <v>0.176354481990557</v>
      </c>
      <c r="F423" s="13" t="n">
        <v>0.121530458789724</v>
      </c>
      <c r="G423" s="13" t="n">
        <v>0.112051392425151</v>
      </c>
      <c r="H423" s="13" t="n">
        <v>-0.00953453957618484</v>
      </c>
      <c r="I423" s="13" t="n">
        <v>0.0019099639989765</v>
      </c>
      <c r="J423" s="13" t="n">
        <v>0.0974154184009057</v>
      </c>
      <c r="K423" s="13" t="n">
        <v>-0.147018212048016</v>
      </c>
    </row>
    <row r="424" customFormat="false" ht="15" hidden="false" customHeight="false" outlineLevel="0" collapsed="false">
      <c r="A424" s="12" t="n">
        <v>1998</v>
      </c>
      <c r="B424" s="12" t="n">
        <v>3</v>
      </c>
      <c r="C424" s="13" t="n">
        <v>2.12284516129032</v>
      </c>
      <c r="D424" s="13" t="n">
        <v>2.0603289091414</v>
      </c>
      <c r="E424" s="13" t="n">
        <v>0.0625162521489279</v>
      </c>
      <c r="F424" s="13" t="n">
        <v>-0.00268409403065189</v>
      </c>
      <c r="G424" s="13" t="n">
        <v>0.184005135146272</v>
      </c>
      <c r="H424" s="13" t="n">
        <v>0.00415624389663711</v>
      </c>
      <c r="I424" s="13" t="n">
        <v>-0.00737048002293029</v>
      </c>
      <c r="J424" s="13" t="n">
        <v>0.0661729873931247</v>
      </c>
      <c r="K424" s="13" t="n">
        <v>-0.181763540233524</v>
      </c>
    </row>
    <row r="425" customFormat="false" ht="15" hidden="false" customHeight="false" outlineLevel="0" collapsed="false">
      <c r="A425" s="12" t="n">
        <v>1998</v>
      </c>
      <c r="B425" s="12" t="n">
        <v>4</v>
      </c>
      <c r="C425" s="13" t="n">
        <v>1.97586</v>
      </c>
      <c r="D425" s="13" t="n">
        <v>2.11574515580541</v>
      </c>
      <c r="E425" s="13" t="n">
        <v>-0.139885155805406</v>
      </c>
      <c r="F425" s="13" t="n">
        <v>-0.110805843664057</v>
      </c>
      <c r="G425" s="13" t="n">
        <v>0.149366439653785</v>
      </c>
      <c r="H425" s="13" t="n">
        <v>0.0181273727839718</v>
      </c>
      <c r="I425" s="13" t="n">
        <v>-0.0166558362249605</v>
      </c>
      <c r="J425" s="13" t="n">
        <v>0.0317111166113067</v>
      </c>
      <c r="K425" s="13" t="n">
        <v>-0.211628404965453</v>
      </c>
    </row>
    <row r="426" customFormat="false" ht="15" hidden="false" customHeight="false" outlineLevel="0" collapsed="false">
      <c r="A426" s="12" t="n">
        <v>1998</v>
      </c>
      <c r="B426" s="12" t="n">
        <v>5</v>
      </c>
      <c r="C426" s="13" t="n">
        <v>1.76858709677419</v>
      </c>
      <c r="D426" s="13" t="n">
        <v>1.85604319787073</v>
      </c>
      <c r="E426" s="13" t="n">
        <v>-0.0874561010965364</v>
      </c>
      <c r="F426" s="13" t="n">
        <v>0.119628660538022</v>
      </c>
      <c r="G426" s="13" t="n">
        <v>0.0171331025797891</v>
      </c>
      <c r="H426" s="13" t="n">
        <v>0.0284770054060599</v>
      </c>
      <c r="I426" s="13" t="n">
        <v>-0.0251328813469525</v>
      </c>
      <c r="J426" s="13" t="n">
        <v>-0.00431455089902617</v>
      </c>
      <c r="K426" s="13" t="n">
        <v>-0.223247437374428</v>
      </c>
    </row>
    <row r="427" customFormat="false" ht="15" hidden="false" customHeight="false" outlineLevel="0" collapsed="false">
      <c r="A427" s="12" t="n">
        <v>1998</v>
      </c>
      <c r="B427" s="12" t="n">
        <v>6</v>
      </c>
      <c r="C427" s="13" t="n">
        <v>0.826953333333333</v>
      </c>
      <c r="D427" s="13" t="n">
        <v>1.26295916595464</v>
      </c>
      <c r="E427" s="13" t="n">
        <v>-0.436005832621309</v>
      </c>
      <c r="F427" s="13" t="n">
        <v>-0.0391761527411201</v>
      </c>
      <c r="G427" s="13" t="n">
        <v>-0.134357334563785</v>
      </c>
      <c r="H427" s="13" t="n">
        <v>0.0320238646332709</v>
      </c>
      <c r="I427" s="13" t="n">
        <v>-0.0320067600064691</v>
      </c>
      <c r="J427" s="13" t="n">
        <v>-0.0402227524719341</v>
      </c>
      <c r="K427" s="13" t="n">
        <v>-0.222266697471271</v>
      </c>
    </row>
    <row r="428" customFormat="false" ht="15" hidden="false" customHeight="false" outlineLevel="0" collapsed="false">
      <c r="A428" s="12" t="n">
        <v>1998</v>
      </c>
      <c r="B428" s="12" t="n">
        <v>7</v>
      </c>
      <c r="C428" s="13" t="n">
        <v>0.3818</v>
      </c>
      <c r="D428" s="13" t="n">
        <v>0.912315690279349</v>
      </c>
      <c r="E428" s="13" t="n">
        <v>-0.530515690279349</v>
      </c>
      <c r="F428" s="13" t="n">
        <v>-0.0117909279719164</v>
      </c>
      <c r="G428" s="13" t="n">
        <v>-0.207949905880239</v>
      </c>
      <c r="H428" s="13" t="n">
        <v>0.0271121885192455</v>
      </c>
      <c r="I428" s="13" t="n">
        <v>-0.0365811665580493</v>
      </c>
      <c r="J428" s="13" t="n">
        <v>-0.0743951682224749</v>
      </c>
      <c r="K428" s="13" t="n">
        <v>-0.226910710165914</v>
      </c>
    </row>
    <row r="429" customFormat="false" ht="15" hidden="false" customHeight="false" outlineLevel="0" collapsed="false">
      <c r="A429" s="12" t="n">
        <v>1998</v>
      </c>
      <c r="B429" s="12" t="n">
        <v>8</v>
      </c>
      <c r="C429" s="13" t="n">
        <v>0.52921935483871</v>
      </c>
      <c r="D429" s="13" t="n">
        <v>1.08837273311454</v>
      </c>
      <c r="E429" s="13" t="n">
        <v>-0.559153378275829</v>
      </c>
      <c r="F429" s="13" t="n">
        <v>-0.0249796287999381</v>
      </c>
      <c r="G429" s="13" t="n">
        <v>-0.15553573857499</v>
      </c>
      <c r="H429" s="13" t="n">
        <v>0.0140882096195324</v>
      </c>
      <c r="I429" s="13" t="n">
        <v>-0.0383325838218704</v>
      </c>
      <c r="J429" s="13" t="n">
        <v>-0.105359596249761</v>
      </c>
      <c r="K429" s="13" t="n">
        <v>-0.249034040448802</v>
      </c>
    </row>
    <row r="430" customFormat="false" ht="15" hidden="false" customHeight="false" outlineLevel="0" collapsed="false">
      <c r="A430" s="12" t="n">
        <v>1998</v>
      </c>
      <c r="B430" s="12" t="n">
        <v>9</v>
      </c>
      <c r="C430" s="13" t="n">
        <v>0.977743333333333</v>
      </c>
      <c r="D430" s="13" t="n">
        <v>1.4822085115368</v>
      </c>
      <c r="E430" s="13" t="n">
        <v>-0.504465178203468</v>
      </c>
      <c r="F430" s="13" t="n">
        <v>-0.0338987329134621</v>
      </c>
      <c r="G430" s="13" t="n">
        <v>-0.0127036452931689</v>
      </c>
      <c r="H430" s="13" t="n">
        <v>-0.00466964726686162</v>
      </c>
      <c r="I430" s="13" t="n">
        <v>-0.036970327228538</v>
      </c>
      <c r="J430" s="13" t="n">
        <v>-0.131862483330912</v>
      </c>
      <c r="K430" s="13" t="n">
        <v>-0.284360342170525</v>
      </c>
    </row>
    <row r="431" customFormat="false" ht="15" hidden="false" customHeight="false" outlineLevel="0" collapsed="false">
      <c r="A431" s="12" t="n">
        <v>1998</v>
      </c>
      <c r="B431" s="12" t="n">
        <v>10</v>
      </c>
      <c r="C431" s="13" t="n">
        <v>1.43391612903226</v>
      </c>
      <c r="D431" s="13" t="n">
        <v>1.79761326647405</v>
      </c>
      <c r="E431" s="13" t="n">
        <v>-0.363697137441791</v>
      </c>
      <c r="F431" s="13" t="n">
        <v>0.0381076214178757</v>
      </c>
      <c r="G431" s="13" t="n">
        <v>0.126559033025373</v>
      </c>
      <c r="H431" s="13" t="n">
        <v>-0.0251896070365899</v>
      </c>
      <c r="I431" s="13" t="n">
        <v>-0.032475473587304</v>
      </c>
      <c r="J431" s="13" t="n">
        <v>-0.152926466875089</v>
      </c>
      <c r="K431" s="13" t="n">
        <v>-0.317772244386057</v>
      </c>
    </row>
    <row r="432" customFormat="false" ht="15" hidden="false" customHeight="false" outlineLevel="0" collapsed="false">
      <c r="A432" s="12" t="n">
        <v>1998</v>
      </c>
      <c r="B432" s="12" t="n">
        <v>11</v>
      </c>
      <c r="C432" s="13" t="n">
        <v>1.56468666666667</v>
      </c>
      <c r="D432" s="13" t="n">
        <v>1.83767154296927</v>
      </c>
      <c r="E432" s="13" t="n">
        <v>-0.2729848763026</v>
      </c>
      <c r="F432" s="13" t="n">
        <v>0.121139849544698</v>
      </c>
      <c r="G432" s="13" t="n">
        <v>0.176543986019756</v>
      </c>
      <c r="H432" s="13" t="n">
        <v>-0.0427347164215906</v>
      </c>
      <c r="I432" s="13" t="n">
        <v>-0.0251138885775516</v>
      </c>
      <c r="J432" s="13" t="n">
        <v>-0.167889936472778</v>
      </c>
      <c r="K432" s="13" t="n">
        <v>-0.334930170395134</v>
      </c>
    </row>
    <row r="433" customFormat="false" ht="15" hidden="false" customHeight="false" outlineLevel="0" collapsed="false">
      <c r="A433" s="12" t="n">
        <v>1998</v>
      </c>
      <c r="B433" s="12" t="n">
        <v>12</v>
      </c>
      <c r="C433" s="13" t="n">
        <v>1.09127741935484</v>
      </c>
      <c r="D433" s="13" t="n">
        <v>1.65343373208032</v>
      </c>
      <c r="E433" s="13" t="n">
        <v>-0.562156312725481</v>
      </c>
      <c r="F433" s="13" t="n">
        <v>-0.102777012056763</v>
      </c>
      <c r="G433" s="13" t="n">
        <v>0.117940502982482</v>
      </c>
      <c r="H433" s="13" t="n">
        <v>-0.0528518508039164</v>
      </c>
      <c r="I433" s="13" t="n">
        <v>-0.015421267959704</v>
      </c>
      <c r="J433" s="13" t="n">
        <v>-0.1764270968398</v>
      </c>
      <c r="K433" s="13" t="n">
        <v>-0.332619588047779</v>
      </c>
    </row>
    <row r="434" customFormat="false" ht="15" hidden="false" customHeight="false" outlineLevel="0" collapsed="false">
      <c r="A434" s="12" t="n">
        <v>1999</v>
      </c>
      <c r="B434" s="12" t="n">
        <v>1</v>
      </c>
      <c r="C434" s="13" t="n">
        <v>0.980551612903226</v>
      </c>
      <c r="D434" s="13" t="n">
        <v>1.59845399775289</v>
      </c>
      <c r="E434" s="13" t="n">
        <v>-0.61790238484966</v>
      </c>
      <c r="F434" s="13" t="n">
        <v>-0.0642004758238775</v>
      </c>
      <c r="G434" s="13" t="n">
        <v>0.00492190292639152</v>
      </c>
      <c r="H434" s="13" t="n">
        <v>-0.0524170452678388</v>
      </c>
      <c r="I434" s="13" t="n">
        <v>-0.00416107032477825</v>
      </c>
      <c r="J434" s="13" t="n">
        <v>-0.178548314168121</v>
      </c>
      <c r="K434" s="13" t="n">
        <v>-0.323497382191436</v>
      </c>
    </row>
    <row r="435" customFormat="false" ht="15" hidden="false" customHeight="false" outlineLevel="0" collapsed="false">
      <c r="A435" s="12" t="n">
        <v>1999</v>
      </c>
      <c r="B435" s="12" t="n">
        <v>2</v>
      </c>
      <c r="C435" s="13" t="n">
        <v>1.22308928571429</v>
      </c>
      <c r="D435" s="13" t="n">
        <v>1.72739597156698</v>
      </c>
      <c r="E435" s="13" t="n">
        <v>-0.504306685852691</v>
      </c>
      <c r="F435" s="13" t="n">
        <v>0.112677396494918</v>
      </c>
      <c r="G435" s="13" t="n">
        <v>-0.081130658150006</v>
      </c>
      <c r="H435" s="13" t="n">
        <v>-0.0404427360932946</v>
      </c>
      <c r="I435" s="13" t="n">
        <v>0.0077408896169293</v>
      </c>
      <c r="J435" s="13" t="n">
        <v>-0.174581559202818</v>
      </c>
      <c r="K435" s="13" t="n">
        <v>-0.328570018518421</v>
      </c>
    </row>
    <row r="436" customFormat="false" ht="15" hidden="false" customHeight="false" outlineLevel="0" collapsed="false">
      <c r="A436" s="12" t="n">
        <v>1999</v>
      </c>
      <c r="B436" s="12" t="n">
        <v>3</v>
      </c>
      <c r="C436" s="13" t="n">
        <v>1.15300322580645</v>
      </c>
      <c r="D436" s="13" t="n">
        <v>1.85601447994072</v>
      </c>
      <c r="E436" s="13" t="n">
        <v>-0.703011254134272</v>
      </c>
      <c r="F436" s="13" t="n">
        <v>-0.0879096145497637</v>
      </c>
      <c r="G436" s="13" t="n">
        <v>-0.093010834024227</v>
      </c>
      <c r="H436" s="13" t="n">
        <v>-0.0184532548223713</v>
      </c>
      <c r="I436" s="13" t="n">
        <v>0.0192789224565932</v>
      </c>
      <c r="J436" s="13" t="n">
        <v>-0.165136637714881</v>
      </c>
      <c r="K436" s="13" t="n">
        <v>-0.357779835479622</v>
      </c>
    </row>
    <row r="437" customFormat="false" ht="15" hidden="false" customHeight="false" outlineLevel="0" collapsed="false">
      <c r="A437" s="12" t="n">
        <v>1999</v>
      </c>
      <c r="B437" s="12" t="n">
        <v>4</v>
      </c>
      <c r="C437" s="13" t="n">
        <v>1.41950666666667</v>
      </c>
      <c r="D437" s="13" t="n">
        <v>1.90894664629565</v>
      </c>
      <c r="E437" s="13" t="n">
        <v>-0.489439979628986</v>
      </c>
      <c r="F437" s="13" t="n">
        <v>0.0662359499793562</v>
      </c>
      <c r="G437" s="13" t="n">
        <v>-0.0466521319389451</v>
      </c>
      <c r="H437" s="13" t="n">
        <v>0.00967959863354777</v>
      </c>
      <c r="I437" s="13" t="n">
        <v>0.0294589317523887</v>
      </c>
      <c r="J437" s="13" t="n">
        <v>-0.151054770490143</v>
      </c>
      <c r="K437" s="13" t="n">
        <v>-0.397107557565191</v>
      </c>
    </row>
    <row r="438" customFormat="false" ht="15" hidden="false" customHeight="false" outlineLevel="0" collapsed="false">
      <c r="A438" s="12" t="n">
        <v>1999</v>
      </c>
      <c r="B438" s="12" t="n">
        <v>5</v>
      </c>
      <c r="C438" s="13" t="n">
        <v>1.10690322580645</v>
      </c>
      <c r="D438" s="13" t="n">
        <v>1.64704015297978</v>
      </c>
      <c r="E438" s="13" t="n">
        <v>-0.54013692717333</v>
      </c>
      <c r="F438" s="13" t="n">
        <v>-0.0639278938379425</v>
      </c>
      <c r="G438" s="13" t="n">
        <v>0.00185110287579344</v>
      </c>
      <c r="H438" s="13" t="n">
        <v>0.0384349378218935</v>
      </c>
      <c r="I438" s="13" t="n">
        <v>0.0373898258738223</v>
      </c>
      <c r="J438" s="13" t="n">
        <v>-0.13334696275451</v>
      </c>
      <c r="K438" s="13" t="n">
        <v>-0.420537937152387</v>
      </c>
    </row>
    <row r="439" customFormat="false" ht="15" hidden="false" customHeight="false" outlineLevel="0" collapsed="false">
      <c r="A439" s="12" t="n">
        <v>1999</v>
      </c>
      <c r="B439" s="12" t="n">
        <v>6</v>
      </c>
      <c r="C439" s="13" t="n">
        <v>0.66964</v>
      </c>
      <c r="D439" s="13" t="n">
        <v>1.05203999942417</v>
      </c>
      <c r="E439" s="13" t="n">
        <v>-0.38239999942417</v>
      </c>
      <c r="F439" s="13" t="n">
        <v>0.0348984344356636</v>
      </c>
      <c r="G439" s="13" t="n">
        <v>0.00874601543608266</v>
      </c>
      <c r="H439" s="13" t="n">
        <v>0.0617499058857704</v>
      </c>
      <c r="I439" s="13" t="n">
        <v>0.0423658461170675</v>
      </c>
      <c r="J439" s="13" t="n">
        <v>-0.113125370510247</v>
      </c>
      <c r="K439" s="13" t="n">
        <v>-0.417034830788508</v>
      </c>
    </row>
    <row r="440" customFormat="false" ht="15" hidden="false" customHeight="false" outlineLevel="0" collapsed="false">
      <c r="A440" s="12" t="n">
        <v>1999</v>
      </c>
      <c r="B440" s="12" t="n">
        <v>7</v>
      </c>
      <c r="C440" s="13" t="n">
        <v>0.304803225806452</v>
      </c>
      <c r="D440" s="13" t="n">
        <v>0.699777067142306</v>
      </c>
      <c r="E440" s="13" t="n">
        <v>-0.394973841335854</v>
      </c>
      <c r="F440" s="13" t="n">
        <v>0.000435332724990966</v>
      </c>
      <c r="G440" s="13" t="n">
        <v>-0.0203608387460959</v>
      </c>
      <c r="H440" s="13" t="n">
        <v>0.0743122563553559</v>
      </c>
      <c r="I440" s="13" t="n">
        <v>0.0439317524268925</v>
      </c>
      <c r="J440" s="13" t="n">
        <v>-0.0915323779912647</v>
      </c>
      <c r="K440" s="13" t="n">
        <v>-0.401759966105733</v>
      </c>
    </row>
    <row r="441" customFormat="false" ht="15" hidden="false" customHeight="false" outlineLevel="0" collapsed="false">
      <c r="A441" s="12" t="n">
        <v>1999</v>
      </c>
      <c r="B441" s="12" t="n">
        <v>8</v>
      </c>
      <c r="C441" s="13" t="n">
        <v>0.592290322580645</v>
      </c>
      <c r="D441" s="13" t="n">
        <v>0.874518924346704</v>
      </c>
      <c r="E441" s="13" t="n">
        <v>-0.282228601766059</v>
      </c>
      <c r="F441" s="13" t="n">
        <v>0.110376162582049</v>
      </c>
      <c r="G441" s="13" t="n">
        <v>-0.0396301949986917</v>
      </c>
      <c r="H441" s="13" t="n">
        <v>0.0727616079823377</v>
      </c>
      <c r="I441" s="13" t="n">
        <v>0.0419246126419365</v>
      </c>
      <c r="J441" s="13" t="n">
        <v>-0.0696722190761182</v>
      </c>
      <c r="K441" s="13" t="n">
        <v>-0.397988570897573</v>
      </c>
    </row>
    <row r="442" customFormat="false" ht="15" hidden="false" customHeight="false" outlineLevel="0" collapsed="false">
      <c r="A442" s="12" t="n">
        <v>1999</v>
      </c>
      <c r="B442" s="12" t="n">
        <v>9</v>
      </c>
      <c r="C442" s="13" t="n">
        <v>0.74377</v>
      </c>
      <c r="D442" s="13" t="n">
        <v>1.26735072267029</v>
      </c>
      <c r="E442" s="13" t="n">
        <v>-0.523580722670294</v>
      </c>
      <c r="F442" s="13" t="n">
        <v>-0.146803332201213</v>
      </c>
      <c r="G442" s="13" t="n">
        <v>-0.00928053951585544</v>
      </c>
      <c r="H442" s="13" t="n">
        <v>0.0565283153464963</v>
      </c>
      <c r="I442" s="13" t="n">
        <v>0.0364883700801531</v>
      </c>
      <c r="J442" s="13" t="n">
        <v>-0.048549636667175</v>
      </c>
      <c r="K442" s="13" t="n">
        <v>-0.411963899712701</v>
      </c>
    </row>
    <row r="443" customFormat="false" ht="15" hidden="false" customHeight="false" outlineLevel="0" collapsed="false">
      <c r="A443" s="12" t="n">
        <v>1999</v>
      </c>
      <c r="B443" s="12" t="n">
        <v>10</v>
      </c>
      <c r="C443" s="13" t="n">
        <v>1.18585483870968</v>
      </c>
      <c r="D443" s="13" t="n">
        <v>1.58206894206849</v>
      </c>
      <c r="E443" s="13" t="n">
        <v>-0.396214103358816</v>
      </c>
      <c r="F443" s="13" t="n">
        <v>-0.0551391055981739</v>
      </c>
      <c r="G443" s="13" t="n">
        <v>0.0623990431195661</v>
      </c>
      <c r="H443" s="13" t="n">
        <v>0.0281059622564403</v>
      </c>
      <c r="I443" s="13" t="n">
        <v>0.0280601414416591</v>
      </c>
      <c r="J443" s="13" t="n">
        <v>-0.0290193037105838</v>
      </c>
      <c r="K443" s="13" t="n">
        <v>-0.430620840867723</v>
      </c>
    </row>
    <row r="444" customFormat="false" ht="15" hidden="false" customHeight="false" outlineLevel="0" collapsed="false">
      <c r="A444" s="12" t="n">
        <v>1999</v>
      </c>
      <c r="B444" s="12" t="n">
        <v>11</v>
      </c>
      <c r="C444" s="13" t="n">
        <v>1.36254666666667</v>
      </c>
      <c r="D444" s="13" t="n">
        <v>1.62176364893312</v>
      </c>
      <c r="E444" s="13" t="n">
        <v>-0.259216982266453</v>
      </c>
      <c r="F444" s="13" t="n">
        <v>0.0632467315576528</v>
      </c>
      <c r="G444" s="13" t="n">
        <v>0.12006699500732</v>
      </c>
      <c r="H444" s="13" t="n">
        <v>-0.00733003610504527</v>
      </c>
      <c r="I444" s="13" t="n">
        <v>0.0173300146847114</v>
      </c>
      <c r="J444" s="13" t="n">
        <v>-0.0117486569595382</v>
      </c>
      <c r="K444" s="13" t="n">
        <v>-0.440782030451554</v>
      </c>
    </row>
    <row r="445" customFormat="false" ht="15" hidden="false" customHeight="false" outlineLevel="0" collapsed="false">
      <c r="A445" s="12" t="n">
        <v>1999</v>
      </c>
      <c r="B445" s="12" t="n">
        <v>12</v>
      </c>
      <c r="C445" s="13" t="n">
        <v>1.16330322580645</v>
      </c>
      <c r="D445" s="13" t="n">
        <v>1.43749001785818</v>
      </c>
      <c r="E445" s="13" t="n">
        <v>-0.274186792051726</v>
      </c>
      <c r="F445" s="13" t="n">
        <v>0.0960437606629247</v>
      </c>
      <c r="G445" s="13" t="n">
        <v>0.106952087967917</v>
      </c>
      <c r="H445" s="13" t="n">
        <v>-0.0429033527396239</v>
      </c>
      <c r="I445" s="13" t="n">
        <v>0.00517867165313522</v>
      </c>
      <c r="J445" s="13" t="n">
        <v>0.00280441075605891</v>
      </c>
      <c r="K445" s="13" t="n">
        <v>-0.442262370352138</v>
      </c>
    </row>
    <row r="446" customFormat="false" ht="15" hidden="false" customHeight="false" outlineLevel="0" collapsed="false">
      <c r="A446" s="12" t="n">
        <v>2000</v>
      </c>
      <c r="B446" s="12" t="n">
        <v>1</v>
      </c>
      <c r="C446" s="13" t="n">
        <v>0.880748387096774</v>
      </c>
      <c r="D446" s="13" t="n">
        <v>1.38280624050607</v>
      </c>
      <c r="E446" s="13" t="n">
        <v>-0.502057853409299</v>
      </c>
      <c r="F446" s="13" t="n">
        <v>-0.0121548376512543</v>
      </c>
      <c r="G446" s="13" t="n">
        <v>0.0163543695208973</v>
      </c>
      <c r="H446" s="13" t="n">
        <v>-0.0714266992358064</v>
      </c>
      <c r="I446" s="13" t="n">
        <v>-0.00740081077265766</v>
      </c>
      <c r="J446" s="13" t="n">
        <v>0.0143987883437094</v>
      </c>
      <c r="K446" s="13" t="n">
        <v>-0.441828663614188</v>
      </c>
    </row>
    <row r="447" customFormat="false" ht="15" hidden="false" customHeight="false" outlineLevel="0" collapsed="false">
      <c r="A447" s="12" t="n">
        <v>2000</v>
      </c>
      <c r="B447" s="12" t="n">
        <v>2</v>
      </c>
      <c r="C447" s="13" t="n">
        <v>0.854062068965517</v>
      </c>
      <c r="D447" s="13" t="n">
        <v>1.51237920451609</v>
      </c>
      <c r="E447" s="13" t="n">
        <v>-0.658317135550576</v>
      </c>
      <c r="F447" s="13" t="n">
        <v>-0.0350322276201563</v>
      </c>
      <c r="G447" s="13" t="n">
        <v>-0.0967792817005244</v>
      </c>
      <c r="H447" s="13" t="n">
        <v>-0.0869113744638411</v>
      </c>
      <c r="I447" s="13" t="n">
        <v>-0.0193893194775765</v>
      </c>
      <c r="J447" s="13" t="n">
        <v>0.0230033353925487</v>
      </c>
      <c r="K447" s="13" t="n">
        <v>-0.443208267681026</v>
      </c>
    </row>
    <row r="448" customFormat="false" ht="15" hidden="false" customHeight="false" outlineLevel="0" collapsed="false">
      <c r="A448" s="12" t="n">
        <v>2000</v>
      </c>
      <c r="B448" s="12" t="n">
        <v>3</v>
      </c>
      <c r="C448" s="13" t="n">
        <v>0.873803225806452</v>
      </c>
      <c r="D448" s="13" t="n">
        <v>1.64196620708534</v>
      </c>
      <c r="E448" s="13" t="n">
        <v>-0.768162981278885</v>
      </c>
      <c r="F448" s="13" t="n">
        <v>-0.0773362029892871</v>
      </c>
      <c r="G448" s="13" t="n">
        <v>-0.156061036457964</v>
      </c>
      <c r="H448" s="13" t="n">
        <v>-0.0858695495573858</v>
      </c>
      <c r="I448" s="13" t="n">
        <v>-0.0298280828010842</v>
      </c>
      <c r="J448" s="13" t="n">
        <v>0.0287781762233211</v>
      </c>
      <c r="K448" s="13" t="n">
        <v>-0.447846285696485</v>
      </c>
    </row>
    <row r="449" customFormat="false" ht="15" hidden="false" customHeight="false" outlineLevel="0" collapsed="false">
      <c r="A449" s="12" t="n">
        <v>2000</v>
      </c>
      <c r="B449" s="12" t="n">
        <v>4</v>
      </c>
      <c r="C449" s="13" t="n">
        <v>1.04540666666667</v>
      </c>
      <c r="D449" s="13" t="n">
        <v>1.69620604577607</v>
      </c>
      <c r="E449" s="13" t="n">
        <v>-0.650799379109407</v>
      </c>
      <c r="F449" s="13" t="n">
        <v>0.00530584469142775</v>
      </c>
      <c r="G449" s="13" t="n">
        <v>-0.122384605089588</v>
      </c>
      <c r="H449" s="13" t="n">
        <v>-0.0681176529858682</v>
      </c>
      <c r="I449" s="13" t="n">
        <v>-0.0378972849808468</v>
      </c>
      <c r="J449" s="13" t="n">
        <v>0.0320470440657174</v>
      </c>
      <c r="K449" s="13" t="n">
        <v>-0.459752724810249</v>
      </c>
    </row>
    <row r="450" customFormat="false" ht="15" hidden="false" customHeight="false" outlineLevel="0" collapsed="false">
      <c r="A450" s="12" t="n">
        <v>2000</v>
      </c>
      <c r="B450" s="12" t="n">
        <v>5</v>
      </c>
      <c r="C450" s="13" t="n">
        <v>0.970432258064516</v>
      </c>
      <c r="D450" s="13" t="n">
        <v>1.43594727139918</v>
      </c>
      <c r="E450" s="13" t="n">
        <v>-0.465515013334665</v>
      </c>
      <c r="F450" s="13" t="n">
        <v>0.0855421986891449</v>
      </c>
      <c r="G450" s="13" t="n">
        <v>-0.0222531961942693</v>
      </c>
      <c r="H450" s="13" t="n">
        <v>-0.0368916946379094</v>
      </c>
      <c r="I450" s="13" t="n">
        <v>-0.0429802492649148</v>
      </c>
      <c r="J450" s="13" t="n">
        <v>0.0332638325368532</v>
      </c>
      <c r="K450" s="13" t="n">
        <v>-0.482195904463569</v>
      </c>
    </row>
    <row r="451" customFormat="false" ht="15" hidden="false" customHeight="false" outlineLevel="0" collapsed="false">
      <c r="A451" s="12" t="n">
        <v>2000</v>
      </c>
      <c r="B451" s="12" t="n">
        <v>6</v>
      </c>
      <c r="C451" s="13" t="n">
        <v>0.373443333333333</v>
      </c>
      <c r="D451" s="13" t="n">
        <v>0.842934939459593</v>
      </c>
      <c r="E451" s="13" t="n">
        <v>-0.469491606126259</v>
      </c>
      <c r="F451" s="13" t="n">
        <v>-0.0254654310353174</v>
      </c>
      <c r="G451" s="13" t="n">
        <v>0.0759477655374828</v>
      </c>
      <c r="H451" s="13" t="n">
        <v>0.00176638391878974</v>
      </c>
      <c r="I451" s="13" t="n">
        <v>-0.0447082279148421</v>
      </c>
      <c r="J451" s="13" t="n">
        <v>0.0329761366476485</v>
      </c>
      <c r="K451" s="13" t="n">
        <v>-0.510008233280021</v>
      </c>
    </row>
    <row r="452" customFormat="false" ht="15" hidden="false" customHeight="false" outlineLevel="0" collapsed="false">
      <c r="A452" s="12" t="n">
        <v>2000</v>
      </c>
      <c r="B452" s="12" t="n">
        <v>7</v>
      </c>
      <c r="C452" s="13" t="n">
        <v>0.106035483870968</v>
      </c>
      <c r="D452" s="13" t="n">
        <v>0.492999170805446</v>
      </c>
      <c r="E452" s="13" t="n">
        <v>-0.386963686934479</v>
      </c>
      <c r="F452" s="13" t="n">
        <v>-2.14590988035631E-005</v>
      </c>
      <c r="G452" s="13" t="n">
        <v>0.114991180215394</v>
      </c>
      <c r="H452" s="13" t="n">
        <v>0.040231229776196</v>
      </c>
      <c r="I452" s="13" t="n">
        <v>-0.0429829169198558</v>
      </c>
      <c r="J452" s="13" t="n">
        <v>0.031787864985321</v>
      </c>
      <c r="K452" s="13" t="n">
        <v>-0.530969585892731</v>
      </c>
    </row>
    <row r="453" customFormat="false" ht="15" hidden="false" customHeight="false" outlineLevel="0" collapsed="false">
      <c r="A453" s="12" t="n">
        <v>2000</v>
      </c>
      <c r="B453" s="12" t="n">
        <v>8</v>
      </c>
      <c r="C453" s="13" t="n">
        <v>0.329116129032258</v>
      </c>
      <c r="D453" s="13" t="n">
        <v>0.670405954277871</v>
      </c>
      <c r="E453" s="13" t="n">
        <v>-0.341289825245613</v>
      </c>
      <c r="F453" s="13" t="n">
        <v>0.046762783176664</v>
      </c>
      <c r="G453" s="13" t="n">
        <v>0.0865421270757248</v>
      </c>
      <c r="H453" s="13" t="n">
        <v>0.0708684562265766</v>
      </c>
      <c r="I453" s="13" t="n">
        <v>-0.0379760204243704</v>
      </c>
      <c r="J453" s="13" t="n">
        <v>0.0303223313382681</v>
      </c>
      <c r="K453" s="13" t="n">
        <v>-0.537809502638477</v>
      </c>
    </row>
    <row r="454" customFormat="false" ht="15" hidden="false" customHeight="false" outlineLevel="0" collapsed="false">
      <c r="A454" s="12" t="n">
        <v>2000</v>
      </c>
      <c r="B454" s="12" t="n">
        <v>9</v>
      </c>
      <c r="C454" s="13" t="n">
        <v>0.518026666666667</v>
      </c>
      <c r="D454" s="13" t="n">
        <v>1.06623804385284</v>
      </c>
      <c r="E454" s="13" t="n">
        <v>-0.548211377186173</v>
      </c>
      <c r="F454" s="13" t="n">
        <v>-0.124313659356988</v>
      </c>
      <c r="G454" s="13" t="n">
        <v>0.026505949674231</v>
      </c>
      <c r="H454" s="13" t="n">
        <v>0.0876229517641531</v>
      </c>
      <c r="I454" s="13" t="n">
        <v>-0.0301072833783427</v>
      </c>
      <c r="J454" s="13" t="n">
        <v>0.0291868190853172</v>
      </c>
      <c r="K454" s="13" t="n">
        <v>-0.537106154974543</v>
      </c>
    </row>
    <row r="455" customFormat="false" ht="15" hidden="false" customHeight="false" outlineLevel="0" collapsed="false">
      <c r="A455" s="12" t="n">
        <v>2000</v>
      </c>
      <c r="B455" s="12" t="n">
        <v>10</v>
      </c>
      <c r="C455" s="13" t="n">
        <v>0.987941935483871</v>
      </c>
      <c r="D455" s="13" t="n">
        <v>1.38428870635626</v>
      </c>
      <c r="E455" s="13" t="n">
        <v>-0.396346770872384</v>
      </c>
      <c r="F455" s="13" t="n">
        <v>0.0722209604683566</v>
      </c>
      <c r="G455" s="13" t="n">
        <v>-0.0211592748831805</v>
      </c>
      <c r="H455" s="13" t="n">
        <v>0.0872774566800807</v>
      </c>
      <c r="I455" s="13" t="n">
        <v>-0.0200041825799484</v>
      </c>
      <c r="J455" s="13" t="n">
        <v>0.0289394903761997</v>
      </c>
      <c r="K455" s="13" t="n">
        <v>-0.543621220933892</v>
      </c>
    </row>
    <row r="456" customFormat="false" ht="15" hidden="false" customHeight="false" outlineLevel="0" collapsed="false">
      <c r="A456" s="12" t="n">
        <v>2000</v>
      </c>
      <c r="B456" s="12" t="n">
        <v>11</v>
      </c>
      <c r="C456" s="13" t="n">
        <v>0.907553333333333</v>
      </c>
      <c r="D456" s="13" t="n">
        <v>1.42764398477393</v>
      </c>
      <c r="E456" s="13" t="n">
        <v>-0.520090651440597</v>
      </c>
      <c r="F456" s="13" t="n">
        <v>-0.00970139655974459</v>
      </c>
      <c r="G456" s="13" t="n">
        <v>-0.037625349281523</v>
      </c>
      <c r="H456" s="13" t="n">
        <v>0.0701089867065941</v>
      </c>
      <c r="I456" s="13" t="n">
        <v>-0.00844776349950853</v>
      </c>
      <c r="J456" s="13" t="n">
        <v>0.0300595822692312</v>
      </c>
      <c r="K456" s="13" t="n">
        <v>-0.564484711075646</v>
      </c>
    </row>
    <row r="457" customFormat="false" ht="15" hidden="false" customHeight="false" outlineLevel="0" collapsed="false">
      <c r="A457" s="12" t="n">
        <v>2000</v>
      </c>
      <c r="B457" s="12" t="n">
        <v>12</v>
      </c>
      <c r="C457" s="13" t="n">
        <v>0.770396774193549</v>
      </c>
      <c r="D457" s="13" t="n">
        <v>1.24735422758645</v>
      </c>
      <c r="E457" s="13" t="n">
        <v>-0.476957453392896</v>
      </c>
      <c r="F457" s="13" t="n">
        <v>0.0701968587959506</v>
      </c>
      <c r="G457" s="13" t="n">
        <v>-0.0335853525790277</v>
      </c>
      <c r="H457" s="13" t="n">
        <v>0.0398028926547589</v>
      </c>
      <c r="I457" s="13" t="n">
        <v>0.00369015012166153</v>
      </c>
      <c r="J457" s="13" t="n">
        <v>0.0329219510757649</v>
      </c>
      <c r="K457" s="13" t="n">
        <v>-0.589983953462004</v>
      </c>
    </row>
    <row r="458" customFormat="false" ht="15" hidden="false" customHeight="false" outlineLevel="0" collapsed="false">
      <c r="A458" s="12" t="n">
        <v>2001</v>
      </c>
      <c r="B458" s="12" t="n">
        <v>1</v>
      </c>
      <c r="C458" s="13" t="n">
        <v>0.519241935483871</v>
      </c>
      <c r="D458" s="13" t="n">
        <v>1.19697200756368</v>
      </c>
      <c r="E458" s="13" t="n">
        <v>-0.677730072079807</v>
      </c>
      <c r="F458" s="13" t="n">
        <v>-0.102403696756891</v>
      </c>
      <c r="G458" s="13" t="n">
        <v>-0.0281342161308642</v>
      </c>
      <c r="H458" s="13" t="n">
        <v>0.00264748578469221</v>
      </c>
      <c r="I458" s="13" t="n">
        <v>0.0155129747249631</v>
      </c>
      <c r="J458" s="13" t="n">
        <v>0.0377770887339356</v>
      </c>
      <c r="K458" s="13" t="n">
        <v>-0.603129708435642</v>
      </c>
    </row>
    <row r="459" customFormat="false" ht="15" hidden="false" customHeight="false" outlineLevel="0" collapsed="false">
      <c r="A459" s="12" t="n">
        <v>2001</v>
      </c>
      <c r="B459" s="12" t="n">
        <v>2</v>
      </c>
      <c r="C459" s="13" t="n">
        <v>0.748814285714286</v>
      </c>
      <c r="D459" s="13" t="n">
        <v>1.33115781291982</v>
      </c>
      <c r="E459" s="13" t="n">
        <v>-0.582343527205529</v>
      </c>
      <c r="F459" s="13" t="n">
        <v>0.0064738673981494</v>
      </c>
      <c r="G459" s="13" t="n">
        <v>-0.0267662759714866</v>
      </c>
      <c r="H459" s="13" t="n">
        <v>-0.0338107478212043</v>
      </c>
      <c r="I459" s="13" t="n">
        <v>0.0261635518001625</v>
      </c>
      <c r="J459" s="13" t="n">
        <v>0.0447376868650926</v>
      </c>
      <c r="K459" s="13" t="n">
        <v>-0.599141609476243</v>
      </c>
    </row>
    <row r="460" customFormat="false" ht="15" hidden="false" customHeight="false" outlineLevel="0" collapsed="false">
      <c r="A460" s="12" t="n">
        <v>2001</v>
      </c>
      <c r="B460" s="12" t="n">
        <v>3</v>
      </c>
      <c r="C460" s="13" t="n">
        <v>0.986045161290323</v>
      </c>
      <c r="D460" s="13" t="n">
        <v>1.46566177543761</v>
      </c>
      <c r="E460" s="13" t="n">
        <v>-0.479616614147288</v>
      </c>
      <c r="F460" s="13" t="n">
        <v>0.105052205769314</v>
      </c>
      <c r="G460" s="13" t="n">
        <v>-0.0193566847335302</v>
      </c>
      <c r="H460" s="13" t="n">
        <v>-0.0623555773047751</v>
      </c>
      <c r="I460" s="13" t="n">
        <v>0.0348821737894299</v>
      </c>
      <c r="J460" s="13" t="n">
        <v>0.0537726239131599</v>
      </c>
      <c r="K460" s="13" t="n">
        <v>-0.591611355580887</v>
      </c>
    </row>
    <row r="461" customFormat="false" ht="15" hidden="false" customHeight="false" outlineLevel="0" collapsed="false">
      <c r="A461" s="12" t="n">
        <v>2001</v>
      </c>
      <c r="B461" s="12" t="n">
        <v>4</v>
      </c>
      <c r="C461" s="13" t="n">
        <v>0.8243</v>
      </c>
      <c r="D461" s="13" t="n">
        <v>1.52511477807328</v>
      </c>
      <c r="E461" s="13" t="n">
        <v>-0.700814778073284</v>
      </c>
      <c r="F461" s="13" t="n">
        <v>-0.135213173414725</v>
      </c>
      <c r="G461" s="13" t="n">
        <v>0.00304173929355754</v>
      </c>
      <c r="H461" s="13" t="n">
        <v>-0.0775884391706729</v>
      </c>
      <c r="I461" s="13" t="n">
        <v>0.041055116781308</v>
      </c>
      <c r="J461" s="13" t="n">
        <v>0.0647088717035783</v>
      </c>
      <c r="K461" s="13" t="n">
        <v>-0.59681889326633</v>
      </c>
    </row>
    <row r="462" customFormat="false" ht="15" hidden="false" customHeight="false" outlineLevel="0" collapsed="false">
      <c r="A462" s="12" t="n">
        <v>2001</v>
      </c>
      <c r="B462" s="12" t="n">
        <v>5</v>
      </c>
      <c r="C462" s="13" t="n">
        <v>0.846712903225807</v>
      </c>
      <c r="D462" s="13" t="n">
        <v>1.27035672682991</v>
      </c>
      <c r="E462" s="13" t="n">
        <v>-0.423643823604104</v>
      </c>
      <c r="F462" s="13" t="n">
        <v>0.114626731365383</v>
      </c>
      <c r="G462" s="13" t="n">
        <v>0.0322117541625199</v>
      </c>
      <c r="H462" s="13" t="n">
        <v>-0.0769980792349498</v>
      </c>
      <c r="I462" s="13" t="n">
        <v>0.0442514382413865</v>
      </c>
      <c r="J462" s="13" t="n">
        <v>0.0772412972837303</v>
      </c>
      <c r="K462" s="13" t="n">
        <v>-0.614976965422174</v>
      </c>
    </row>
    <row r="463" customFormat="false" ht="15" hidden="false" customHeight="false" outlineLevel="0" collapsed="false">
      <c r="A463" s="12" t="n">
        <v>2001</v>
      </c>
      <c r="B463" s="12" t="n">
        <v>6</v>
      </c>
      <c r="C463" s="13" t="n">
        <v>0.0812866666666667</v>
      </c>
      <c r="D463" s="13" t="n">
        <v>0.683123323341799</v>
      </c>
      <c r="E463" s="13" t="n">
        <v>-0.601836656675132</v>
      </c>
      <c r="F463" s="13" t="n">
        <v>-0.0908621207895523</v>
      </c>
      <c r="G463" s="13" t="n">
        <v>0.0456852658020326</v>
      </c>
      <c r="H463" s="13" t="n">
        <v>-0.0613928069084961</v>
      </c>
      <c r="I463" s="13" t="n">
        <v>0.0442468514590507</v>
      </c>
      <c r="J463" s="13" t="n">
        <v>0.0909497677325412</v>
      </c>
      <c r="K463" s="13" t="n">
        <v>-0.630463613970708</v>
      </c>
    </row>
    <row r="464" customFormat="false" ht="15" hidden="false" customHeight="false" outlineLevel="0" collapsed="false">
      <c r="A464" s="12" t="n">
        <v>2001</v>
      </c>
      <c r="B464" s="12" t="n">
        <v>7</v>
      </c>
      <c r="C464" s="13" t="n">
        <v>-0.123683870967742</v>
      </c>
      <c r="D464" s="13" t="n">
        <v>0.339234648763638</v>
      </c>
      <c r="E464" s="13" t="n">
        <v>-0.46291851973138</v>
      </c>
      <c r="F464" s="13" t="n">
        <v>0.0274710108340652</v>
      </c>
      <c r="G464" s="13" t="n">
        <v>0.0275090015750527</v>
      </c>
      <c r="H464" s="13" t="n">
        <v>-0.0346190946343198</v>
      </c>
      <c r="I464" s="13" t="n">
        <v>0.0410343942124283</v>
      </c>
      <c r="J464" s="13" t="n">
        <v>0.105322434473109</v>
      </c>
      <c r="K464" s="13" t="n">
        <v>-0.629636266191716</v>
      </c>
    </row>
    <row r="465" customFormat="false" ht="15" hidden="false" customHeight="false" outlineLevel="0" collapsed="false">
      <c r="A465" s="12" t="n">
        <v>2001</v>
      </c>
      <c r="B465" s="12" t="n">
        <v>8</v>
      </c>
      <c r="C465" s="13" t="n">
        <v>0.124651612903226</v>
      </c>
      <c r="D465" s="13" t="n">
        <v>0.522945991646221</v>
      </c>
      <c r="E465" s="13" t="n">
        <v>-0.398294378742995</v>
      </c>
      <c r="F465" s="13" t="n">
        <v>0.078309855522474</v>
      </c>
      <c r="G465" s="13" t="n">
        <v>-0.0128760709806597</v>
      </c>
      <c r="H465" s="13" t="n">
        <v>-0.00264696538801</v>
      </c>
      <c r="I465" s="13" t="n">
        <v>0.0348223032729619</v>
      </c>
      <c r="J465" s="13" t="n">
        <v>0.1197836337079</v>
      </c>
      <c r="K465" s="13" t="n">
        <v>-0.615687134877662</v>
      </c>
    </row>
    <row r="466" customFormat="false" ht="15" hidden="false" customHeight="false" outlineLevel="0" collapsed="false">
      <c r="A466" s="12" t="n">
        <v>2001</v>
      </c>
      <c r="B466" s="12" t="n">
        <v>9</v>
      </c>
      <c r="C466" s="13" t="n">
        <v>0.346586666666667</v>
      </c>
      <c r="D466" s="13" t="n">
        <v>0.925328772271068</v>
      </c>
      <c r="E466" s="13" t="n">
        <v>-0.578742105604402</v>
      </c>
      <c r="F466" s="13" t="n">
        <v>-0.117237980263473</v>
      </c>
      <c r="G466" s="13" t="n">
        <v>-0.0438114236335127</v>
      </c>
      <c r="H466" s="13" t="n">
        <v>0.0277623593218241</v>
      </c>
      <c r="I466" s="13" t="n">
        <v>0.0260199739007263</v>
      </c>
      <c r="J466" s="13" t="n">
        <v>0.133724536538542</v>
      </c>
      <c r="K466" s="13" t="n">
        <v>-0.605199571468508</v>
      </c>
    </row>
    <row r="467" customFormat="false" ht="15" hidden="false" customHeight="false" outlineLevel="0" collapsed="false">
      <c r="A467" s="12" t="n">
        <v>2001</v>
      </c>
      <c r="B467" s="12" t="n">
        <v>10</v>
      </c>
      <c r="C467" s="13" t="n">
        <v>0.887022580645161</v>
      </c>
      <c r="D467" s="13" t="n">
        <v>1.25016431941358</v>
      </c>
      <c r="E467" s="13" t="n">
        <v>-0.363141738768419</v>
      </c>
      <c r="F467" s="13" t="n">
        <v>0.0725883619621598</v>
      </c>
      <c r="G467" s="13" t="n">
        <v>-0.0373041463465388</v>
      </c>
      <c r="H467" s="13" t="n">
        <v>0.0505070064071057</v>
      </c>
      <c r="I467" s="13" t="n">
        <v>0.015213155231435</v>
      </c>
      <c r="J467" s="13" t="n">
        <v>0.14653455117889</v>
      </c>
      <c r="K467" s="13" t="n">
        <v>-0.61068066720147</v>
      </c>
    </row>
    <row r="468" customFormat="false" ht="15" hidden="false" customHeight="false" outlineLevel="0" collapsed="false">
      <c r="A468" s="12" t="n">
        <v>2001</v>
      </c>
      <c r="B468" s="12" t="n">
        <v>11</v>
      </c>
      <c r="C468" s="13" t="n">
        <v>0.879083333333333</v>
      </c>
      <c r="D468" s="13" t="n">
        <v>1.3005261644635</v>
      </c>
      <c r="E468" s="13" t="n">
        <v>-0.421442831130163</v>
      </c>
      <c r="F468" s="13" t="n">
        <v>-0.0210169894633855</v>
      </c>
      <c r="G468" s="13" t="n">
        <v>0.00421981069000428</v>
      </c>
      <c r="H468" s="13" t="n">
        <v>0.0613976324945978</v>
      </c>
      <c r="I468" s="13" t="n">
        <v>0.00312967400161259</v>
      </c>
      <c r="J468" s="13" t="n">
        <v>0.157631523031969</v>
      </c>
      <c r="K468" s="13" t="n">
        <v>-0.626804481884961</v>
      </c>
    </row>
    <row r="469" customFormat="false" ht="15" hidden="false" customHeight="false" outlineLevel="0" collapsed="false">
      <c r="A469" s="12" t="n">
        <v>2001</v>
      </c>
      <c r="B469" s="12" t="n">
        <v>12</v>
      </c>
      <c r="C469" s="13" t="n">
        <v>0.761806451612903</v>
      </c>
      <c r="D469" s="13" t="n">
        <v>1.1274516032663</v>
      </c>
      <c r="E469" s="13" t="n">
        <v>-0.3656451516534</v>
      </c>
      <c r="F469" s="13" t="n">
        <v>0.00737850861617725</v>
      </c>
      <c r="G469" s="13" t="n">
        <v>0.0461158570086092</v>
      </c>
      <c r="H469" s="13" t="n">
        <v>0.0589511798260482</v>
      </c>
      <c r="I469" s="13" t="n">
        <v>-0.00940292562777369</v>
      </c>
      <c r="J469" s="13" t="n">
        <v>0.166488971459017</v>
      </c>
      <c r="K469" s="13" t="n">
        <v>-0.635176742935478</v>
      </c>
    </row>
    <row r="470" customFormat="false" ht="15" hidden="false" customHeight="false" outlineLevel="0" collapsed="false">
      <c r="A470" s="12" t="n">
        <v>2002</v>
      </c>
      <c r="B470" s="12" t="n">
        <v>1</v>
      </c>
      <c r="C470" s="13" t="n">
        <v>0.614770967741936</v>
      </c>
      <c r="D470" s="13" t="n">
        <v>1.08447964900577</v>
      </c>
      <c r="E470" s="13" t="n">
        <v>-0.469708681263831</v>
      </c>
      <c r="F470" s="13" t="n">
        <v>-0.0906793949156936</v>
      </c>
      <c r="G470" s="13" t="n">
        <v>0.0498832886146244</v>
      </c>
      <c r="H470" s="13" t="n">
        <v>0.0445721638684525</v>
      </c>
      <c r="I470" s="13" t="n">
        <v>-0.021506306025175</v>
      </c>
      <c r="J470" s="13" t="n">
        <v>0.172658926486622</v>
      </c>
      <c r="K470" s="13" t="n">
        <v>-0.624637359292661</v>
      </c>
    </row>
    <row r="471" customFormat="false" ht="15" hidden="false" customHeight="false" outlineLevel="0" collapsed="false">
      <c r="A471" s="12" t="n">
        <v>2002</v>
      </c>
      <c r="B471" s="12" t="n">
        <v>2</v>
      </c>
      <c r="C471" s="13" t="n">
        <v>0.917342857142857</v>
      </c>
      <c r="D471" s="13" t="n">
        <v>1.22625675892307</v>
      </c>
      <c r="E471" s="13" t="n">
        <v>-0.308913901780211</v>
      </c>
      <c r="F471" s="13" t="n">
        <v>0.121943564305811</v>
      </c>
      <c r="G471" s="13" t="n">
        <v>0.00852852682984812</v>
      </c>
      <c r="H471" s="13" t="n">
        <v>0.0221071411595611</v>
      </c>
      <c r="I471" s="13" t="n">
        <v>-0.0323050704490061</v>
      </c>
      <c r="J471" s="13" t="n">
        <v>0.175789377366439</v>
      </c>
      <c r="K471" s="13" t="n">
        <v>-0.604977440992865</v>
      </c>
    </row>
    <row r="472" customFormat="false" ht="15" hidden="false" customHeight="false" outlineLevel="0" collapsed="false">
      <c r="A472" s="12" t="n">
        <v>2002</v>
      </c>
      <c r="B472" s="12" t="n">
        <v>3</v>
      </c>
      <c r="C472" s="13" t="n">
        <v>0.930403225806452</v>
      </c>
      <c r="D472" s="13" t="n">
        <v>1.3685185993935</v>
      </c>
      <c r="E472" s="13" t="n">
        <v>-0.438115373587044</v>
      </c>
      <c r="F472" s="13" t="n">
        <v>0.0704180142963124</v>
      </c>
      <c r="G472" s="13" t="n">
        <v>-0.0439157735138316</v>
      </c>
      <c r="H472" s="13" t="n">
        <v>-0.00310517923445608</v>
      </c>
      <c r="I472" s="13" t="n">
        <v>-0.040983191295846</v>
      </c>
      <c r="J472" s="13" t="n">
        <v>0.175635885606027</v>
      </c>
      <c r="K472" s="13" t="n">
        <v>-0.59616512944525</v>
      </c>
    </row>
    <row r="473" customFormat="false" ht="15" hidden="false" customHeight="false" outlineLevel="0" collapsed="false">
      <c r="A473" s="12" t="n">
        <v>2002</v>
      </c>
      <c r="B473" s="12" t="n">
        <v>4</v>
      </c>
      <c r="C473" s="13" t="n">
        <v>0.70634</v>
      </c>
      <c r="D473" s="13" t="n">
        <v>1.43588119173408</v>
      </c>
      <c r="E473" s="13" t="n">
        <v>-0.729541191734076</v>
      </c>
      <c r="F473" s="13" t="n">
        <v>-0.163193995984395</v>
      </c>
      <c r="G473" s="13" t="n">
        <v>-0.0606877732020804</v>
      </c>
      <c r="H473" s="13" t="n">
        <v>-0.0254608316108968</v>
      </c>
      <c r="I473" s="13" t="n">
        <v>-0.0468405377744771</v>
      </c>
      <c r="J473" s="13" t="n">
        <v>0.172067481738708</v>
      </c>
      <c r="K473" s="13" t="n">
        <v>-0.605425534900935</v>
      </c>
    </row>
    <row r="474" customFormat="false" ht="15" hidden="false" customHeight="false" outlineLevel="0" collapsed="false">
      <c r="A474" s="12" t="n">
        <v>2002</v>
      </c>
      <c r="B474" s="12" t="n">
        <v>5</v>
      </c>
      <c r="C474" s="13" t="n">
        <v>0.673803225806452</v>
      </c>
      <c r="D474" s="13" t="n">
        <v>1.18916922344362</v>
      </c>
      <c r="E474" s="13" t="n">
        <v>-0.515365997637166</v>
      </c>
      <c r="F474" s="13" t="n">
        <v>0.0557705733040229</v>
      </c>
      <c r="G474" s="13" t="n">
        <v>-0.0252266700072101</v>
      </c>
      <c r="H474" s="13" t="n">
        <v>-0.040316106668501</v>
      </c>
      <c r="I474" s="13" t="n">
        <v>-0.0493463765908888</v>
      </c>
      <c r="J474" s="13" t="n">
        <v>0.165067471614605</v>
      </c>
      <c r="K474" s="13" t="n">
        <v>-0.621314889289194</v>
      </c>
    </row>
    <row r="475" customFormat="false" ht="15" hidden="false" customHeight="false" outlineLevel="0" collapsed="false">
      <c r="A475" s="12" t="n">
        <v>2002</v>
      </c>
      <c r="B475" s="12" t="n">
        <v>6</v>
      </c>
      <c r="C475" s="13" t="n">
        <v>-0.06748</v>
      </c>
      <c r="D475" s="13" t="n">
        <v>0.610102861181294</v>
      </c>
      <c r="E475" s="13" t="n">
        <v>-0.677582861181294</v>
      </c>
      <c r="F475" s="13" t="n">
        <v>-0.139826170285021</v>
      </c>
      <c r="G475" s="13" t="n">
        <v>0.031177336091285</v>
      </c>
      <c r="H475" s="13" t="n">
        <v>-0.0449452856105774</v>
      </c>
      <c r="I475" s="13" t="n">
        <v>-0.0481862330125955</v>
      </c>
      <c r="J475" s="13" t="n">
        <v>0.154730107392238</v>
      </c>
      <c r="K475" s="13" t="n">
        <v>-0.630532615756622</v>
      </c>
    </row>
    <row r="476" customFormat="false" ht="15" hidden="false" customHeight="false" outlineLevel="0" collapsed="false">
      <c r="A476" s="12" t="n">
        <v>2002</v>
      </c>
      <c r="B476" s="12" t="n">
        <v>7</v>
      </c>
      <c r="C476" s="13" t="n">
        <v>-0.0345064516129032</v>
      </c>
      <c r="D476" s="13" t="n">
        <v>0.274486375946133</v>
      </c>
      <c r="E476" s="13" t="n">
        <v>-0.308992827559037</v>
      </c>
      <c r="F476" s="13" t="n">
        <v>0.208798003235521</v>
      </c>
      <c r="G476" s="13" t="n">
        <v>0.0562743822853992</v>
      </c>
      <c r="H476" s="13" t="n">
        <v>-0.0390340983948146</v>
      </c>
      <c r="I476" s="13" t="n">
        <v>-0.043298183542742</v>
      </c>
      <c r="J476" s="13" t="n">
        <v>0.141254121709602</v>
      </c>
      <c r="K476" s="13" t="n">
        <v>-0.632987052852002</v>
      </c>
    </row>
    <row r="477" customFormat="false" ht="15" hidden="false" customHeight="false" outlineLevel="0" collapsed="false">
      <c r="A477" s="12" t="n">
        <v>2002</v>
      </c>
      <c r="B477" s="12" t="n">
        <v>8</v>
      </c>
      <c r="C477" s="13" t="n">
        <v>-0.0716193548387097</v>
      </c>
      <c r="D477" s="13" t="n">
        <v>0.466559013058873</v>
      </c>
      <c r="E477" s="13" t="n">
        <v>-0.538178367897582</v>
      </c>
      <c r="F477" s="13" t="n">
        <v>0.00749879663480409</v>
      </c>
      <c r="G477" s="13" t="n">
        <v>0.0257307843692238</v>
      </c>
      <c r="H477" s="13" t="n">
        <v>-0.024622417205504</v>
      </c>
      <c r="I477" s="13" t="n">
        <v>-0.034894634160035</v>
      </c>
      <c r="J477" s="13" t="n">
        <v>0.124933899973922</v>
      </c>
      <c r="K477" s="13" t="n">
        <v>-0.636824797509993</v>
      </c>
    </row>
    <row r="478" customFormat="false" ht="15" hidden="false" customHeight="false" outlineLevel="0" collapsed="false">
      <c r="A478" s="12" t="n">
        <v>2002</v>
      </c>
      <c r="B478" s="12" t="n">
        <v>9</v>
      </c>
      <c r="C478" s="13" t="n">
        <v>0.235553333333333</v>
      </c>
      <c r="D478" s="13" t="n">
        <v>0.877375959232286</v>
      </c>
      <c r="E478" s="13" t="n">
        <v>-0.641822625898952</v>
      </c>
      <c r="F478" s="13" t="n">
        <v>-0.0417651027680404</v>
      </c>
      <c r="G478" s="13" t="n">
        <v>-0.0319013714282012</v>
      </c>
      <c r="H478" s="13" t="n">
        <v>-0.00553384025735041</v>
      </c>
      <c r="I478" s="13" t="n">
        <v>-0.0234660299774861</v>
      </c>
      <c r="J478" s="13" t="n">
        <v>0.106148756240515</v>
      </c>
      <c r="K478" s="13" t="n">
        <v>-0.645305037708389</v>
      </c>
    </row>
    <row r="479" customFormat="false" ht="15" hidden="false" customHeight="false" outlineLevel="0" collapsed="false">
      <c r="A479" s="12" t="n">
        <v>2002</v>
      </c>
      <c r="B479" s="12" t="n">
        <v>10</v>
      </c>
      <c r="C479" s="13" t="n">
        <v>0.503929032258065</v>
      </c>
      <c r="D479" s="13" t="n">
        <v>1.21070216260858</v>
      </c>
      <c r="E479" s="13" t="n">
        <v>-0.706773130350515</v>
      </c>
      <c r="F479" s="13" t="n">
        <v>-0.0802179249191891</v>
      </c>
      <c r="G479" s="13" t="n">
        <v>-0.0598615449088577</v>
      </c>
      <c r="H479" s="13" t="n">
        <v>0.0135598271644633</v>
      </c>
      <c r="I479" s="13" t="n">
        <v>-0.0097638128516475</v>
      </c>
      <c r="J479" s="13" t="n">
        <v>0.0853505713638618</v>
      </c>
      <c r="K479" s="13" t="n">
        <v>-0.655840246199146</v>
      </c>
    </row>
    <row r="480" customFormat="false" ht="15" hidden="false" customHeight="false" outlineLevel="0" collapsed="false">
      <c r="A480" s="12" t="n">
        <v>2002</v>
      </c>
      <c r="B480" s="12" t="n">
        <v>11</v>
      </c>
      <c r="C480" s="13" t="n">
        <v>0.595836666666667</v>
      </c>
      <c r="D480" s="13" t="n">
        <v>1.2695946705643</v>
      </c>
      <c r="E480" s="13" t="n">
        <v>-0.673758003897631</v>
      </c>
      <c r="F480" s="13" t="n">
        <v>-0.0752670442607556</v>
      </c>
      <c r="G480" s="13" t="n">
        <v>-0.0264678434058463</v>
      </c>
      <c r="H480" s="13" t="n">
        <v>0.0282181442265176</v>
      </c>
      <c r="I480" s="13" t="n">
        <v>0.00523869646639522</v>
      </c>
      <c r="J480" s="13" t="n">
        <v>0.0630499696568814</v>
      </c>
      <c r="K480" s="13" t="n">
        <v>-0.668529926580824</v>
      </c>
    </row>
    <row r="481" customFormat="false" ht="15" hidden="false" customHeight="false" outlineLevel="0" collapsed="false">
      <c r="A481" s="12" t="n">
        <v>2002</v>
      </c>
      <c r="B481" s="12" t="n">
        <v>12</v>
      </c>
      <c r="C481" s="13" t="n">
        <v>0.737809677419355</v>
      </c>
      <c r="D481" s="13" t="n">
        <v>1.10507423549192</v>
      </c>
      <c r="E481" s="13" t="n">
        <v>-0.367264558072561</v>
      </c>
      <c r="F481" s="13" t="n">
        <v>0.180597068658886</v>
      </c>
      <c r="G481" s="13" t="n">
        <v>0.0427086596248677</v>
      </c>
      <c r="H481" s="13" t="n">
        <v>0.0352130228554766</v>
      </c>
      <c r="I481" s="13" t="n">
        <v>0.0204070256281231</v>
      </c>
      <c r="J481" s="13" t="n">
        <v>0.0398011292571855</v>
      </c>
      <c r="K481" s="13" t="n">
        <v>-0.6859914640971</v>
      </c>
    </row>
    <row r="482" customFormat="false" ht="15" hidden="false" customHeight="false" outlineLevel="0" collapsed="false">
      <c r="A482" s="12" t="n">
        <v>2003</v>
      </c>
      <c r="B482" s="12" t="n">
        <v>1</v>
      </c>
      <c r="C482" s="13" t="n">
        <v>0.520203225806452</v>
      </c>
      <c r="D482" s="13" t="n">
        <v>1.07066331175647</v>
      </c>
      <c r="E482" s="13" t="n">
        <v>-0.550460085950018</v>
      </c>
      <c r="F482" s="13" t="n">
        <v>-0.0158641745693682</v>
      </c>
      <c r="G482" s="13" t="n">
        <v>0.0852696112546054</v>
      </c>
      <c r="H482" s="13" t="n">
        <v>0.0332006256284033</v>
      </c>
      <c r="I482" s="13" t="n">
        <v>0.0345253358425886</v>
      </c>
      <c r="J482" s="13" t="n">
        <v>0.0161851753365568</v>
      </c>
      <c r="K482" s="13" t="n">
        <v>-0.703776659442804</v>
      </c>
    </row>
    <row r="483" customFormat="false" ht="15" hidden="false" customHeight="false" outlineLevel="0" collapsed="false">
      <c r="A483" s="12" t="n">
        <v>2003</v>
      </c>
      <c r="B483" s="12" t="n">
        <v>2</v>
      </c>
      <c r="C483" s="13" t="n">
        <v>0.566478571428571</v>
      </c>
      <c r="D483" s="13" t="n">
        <v>1.22099182650185</v>
      </c>
      <c r="E483" s="13" t="n">
        <v>-0.654513255073275</v>
      </c>
      <c r="F483" s="13" t="n">
        <v>-0.0637390969587259</v>
      </c>
      <c r="G483" s="13" t="n">
        <v>0.0577552480057883</v>
      </c>
      <c r="H483" s="13" t="n">
        <v>0.0229500560897432</v>
      </c>
      <c r="I483" s="13" t="n">
        <v>0.0463905299113407</v>
      </c>
      <c r="J483" s="13" t="n">
        <v>-0.00720798880699696</v>
      </c>
      <c r="K483" s="13" t="n">
        <v>-0.710662003314424</v>
      </c>
    </row>
    <row r="484" customFormat="false" ht="15" hidden="false" customHeight="false" outlineLevel="0" collapsed="false">
      <c r="A484" s="12" t="n">
        <v>2003</v>
      </c>
      <c r="B484" s="12" t="n">
        <v>3</v>
      </c>
      <c r="C484" s="13" t="n">
        <v>0.685622580645161</v>
      </c>
      <c r="D484" s="13" t="n">
        <v>1.37177898867128</v>
      </c>
      <c r="E484" s="13" t="n">
        <v>-0.686156408026123</v>
      </c>
      <c r="F484" s="13" t="n">
        <v>0.00877995148047355</v>
      </c>
      <c r="G484" s="13" t="n">
        <v>-0.0237308758656201</v>
      </c>
      <c r="H484" s="13" t="n">
        <v>0.00709681306598112</v>
      </c>
      <c r="I484" s="13" t="n">
        <v>0.0549139118647534</v>
      </c>
      <c r="J484" s="13" t="n">
        <v>-0.0297994230277933</v>
      </c>
      <c r="K484" s="13" t="n">
        <v>-0.703416785543918</v>
      </c>
    </row>
    <row r="485" customFormat="false" ht="15" hidden="false" customHeight="false" outlineLevel="0" collapsed="false">
      <c r="A485" s="12" t="n">
        <v>2003</v>
      </c>
      <c r="B485" s="12" t="n">
        <v>4</v>
      </c>
      <c r="C485" s="13" t="n">
        <v>0.677516666666667</v>
      </c>
      <c r="D485" s="13" t="n">
        <v>1.44762447850476</v>
      </c>
      <c r="E485" s="13" t="n">
        <v>-0.770107811838094</v>
      </c>
      <c r="F485" s="13" t="n">
        <v>0.021095270534888</v>
      </c>
      <c r="G485" s="13" t="n">
        <v>-0.0951709420017598</v>
      </c>
      <c r="H485" s="13" t="n">
        <v>-0.0105065174478242</v>
      </c>
      <c r="I485" s="13" t="n">
        <v>0.0592220018284472</v>
      </c>
      <c r="J485" s="13" t="n">
        <v>-0.0510420952252614</v>
      </c>
      <c r="K485" s="13" t="n">
        <v>-0.693705529526584</v>
      </c>
    </row>
    <row r="486" customFormat="false" ht="15" hidden="false" customHeight="false" outlineLevel="0" collapsed="false">
      <c r="A486" s="12" t="n">
        <v>2003</v>
      </c>
      <c r="B486" s="12" t="n">
        <v>5</v>
      </c>
      <c r="C486" s="13" t="n">
        <v>0.419903225806452</v>
      </c>
      <c r="D486" s="13" t="n">
        <v>1.20933680207049</v>
      </c>
      <c r="E486" s="13" t="n">
        <v>-0.789433576264042</v>
      </c>
      <c r="F486" s="13" t="n">
        <v>0.0402605475889133</v>
      </c>
      <c r="G486" s="13" t="n">
        <v>-0.0985892462263647</v>
      </c>
      <c r="H486" s="13" t="n">
        <v>-0.0256856768478645</v>
      </c>
      <c r="I486" s="13" t="n">
        <v>0.058747146554223</v>
      </c>
      <c r="J486" s="13" t="n">
        <v>-0.0704422151851008</v>
      </c>
      <c r="K486" s="13" t="n">
        <v>-0.693724132147848</v>
      </c>
    </row>
    <row r="487" customFormat="false" ht="15" hidden="false" customHeight="false" outlineLevel="0" collapsed="false">
      <c r="A487" s="12" t="n">
        <v>2003</v>
      </c>
      <c r="B487" s="12" t="n">
        <v>6</v>
      </c>
      <c r="C487" s="13" t="n">
        <v>-0.270463333333333</v>
      </c>
      <c r="D487" s="13" t="n">
        <v>0.638620147001533</v>
      </c>
      <c r="E487" s="13" t="n">
        <v>-0.909083480334866</v>
      </c>
      <c r="F487" s="13" t="n">
        <v>-0.108308753396091</v>
      </c>
      <c r="G487" s="13" t="n">
        <v>-0.030763878619227</v>
      </c>
      <c r="H487" s="13" t="n">
        <v>-0.0348829316060667</v>
      </c>
      <c r="I487" s="13" t="n">
        <v>0.0532984679675626</v>
      </c>
      <c r="J487" s="13" t="n">
        <v>-0.0875798275804827</v>
      </c>
      <c r="K487" s="13" t="n">
        <v>-0.700846557100562</v>
      </c>
    </row>
    <row r="488" customFormat="false" ht="15" hidden="false" customHeight="false" outlineLevel="0" collapsed="false">
      <c r="A488" s="12" t="n">
        <v>2003</v>
      </c>
      <c r="B488" s="12" t="n">
        <v>7</v>
      </c>
      <c r="C488" s="13" t="n">
        <v>-0.472187096774194</v>
      </c>
      <c r="D488" s="13" t="n">
        <v>0.311263049804578</v>
      </c>
      <c r="E488" s="13" t="n">
        <v>-0.783450146578771</v>
      </c>
      <c r="F488" s="13" t="n">
        <v>-0.0400457089296133</v>
      </c>
      <c r="G488" s="13" t="n">
        <v>0.0554709811948465</v>
      </c>
      <c r="H488" s="13" t="n">
        <v>-0.0359337403398293</v>
      </c>
      <c r="I488" s="13" t="n">
        <v>0.0431045834737754</v>
      </c>
      <c r="J488" s="13" t="n">
        <v>-0.102127436524587</v>
      </c>
      <c r="K488" s="13" t="n">
        <v>-0.703918825453363</v>
      </c>
    </row>
    <row r="489" customFormat="false" ht="15" hidden="false" customHeight="false" outlineLevel="0" collapsed="false">
      <c r="A489" s="12" t="n">
        <v>2003</v>
      </c>
      <c r="B489" s="12" t="n">
        <v>8</v>
      </c>
      <c r="C489" s="13" t="n">
        <v>-0.0451129032258065</v>
      </c>
      <c r="D489" s="13" t="n">
        <v>0.51148930715299</v>
      </c>
      <c r="E489" s="13" t="n">
        <v>-0.556602210378796</v>
      </c>
      <c r="F489" s="13" t="n">
        <v>0.159917859176862</v>
      </c>
      <c r="G489" s="13" t="n">
        <v>0.0968590734183261</v>
      </c>
      <c r="H489" s="13" t="n">
        <v>-0.0285201481555682</v>
      </c>
      <c r="I489" s="13" t="n">
        <v>0.0288214336017614</v>
      </c>
      <c r="J489" s="13" t="n">
        <v>-0.113865540960697</v>
      </c>
      <c r="K489" s="13" t="n">
        <v>-0.699814887459481</v>
      </c>
    </row>
    <row r="490" customFormat="false" ht="15" hidden="false" customHeight="false" outlineLevel="0" collapsed="false">
      <c r="A490" s="12" t="n">
        <v>2003</v>
      </c>
      <c r="B490" s="12" t="n">
        <v>9</v>
      </c>
      <c r="C490" s="13" t="n">
        <v>0.192803333333333</v>
      </c>
      <c r="D490" s="13" t="n">
        <v>0.930338983396835</v>
      </c>
      <c r="E490" s="13" t="n">
        <v>-0.737535650063502</v>
      </c>
      <c r="F490" s="13" t="n">
        <v>0.0117113157359607</v>
      </c>
      <c r="G490" s="13" t="n">
        <v>0.0707737014995143</v>
      </c>
      <c r="H490" s="13" t="n">
        <v>-0.0142140211274607</v>
      </c>
      <c r="I490" s="13" t="n">
        <v>0.0115013686206825</v>
      </c>
      <c r="J490" s="13" t="n">
        <v>-0.122694189539643</v>
      </c>
      <c r="K490" s="13" t="n">
        <v>-0.694613825252556</v>
      </c>
    </row>
    <row r="491" customFormat="false" ht="15" hidden="false" customHeight="false" outlineLevel="0" collapsed="false">
      <c r="A491" s="12" t="n">
        <v>2003</v>
      </c>
      <c r="B491" s="12" t="n">
        <v>10</v>
      </c>
      <c r="C491" s="13" t="n">
        <v>0.418070967741936</v>
      </c>
      <c r="D491" s="13" t="n">
        <v>1.27156227000305</v>
      </c>
      <c r="E491" s="13" t="n">
        <v>-0.853491302261116</v>
      </c>
      <c r="F491" s="13" t="n">
        <v>-0.0376514601881548</v>
      </c>
      <c r="G491" s="13" t="n">
        <v>0.00761424784037885</v>
      </c>
      <c r="H491" s="13" t="n">
        <v>0.00388704185065315</v>
      </c>
      <c r="I491" s="13" t="n">
        <v>-0.00747683777677942</v>
      </c>
      <c r="J491" s="13" t="n">
        <v>-0.128639869418867</v>
      </c>
      <c r="K491" s="13" t="n">
        <v>-0.691224424568347</v>
      </c>
    </row>
    <row r="492" customFormat="false" ht="15" hidden="false" customHeight="false" outlineLevel="0" collapsed="false">
      <c r="A492" s="12" t="n">
        <v>2003</v>
      </c>
      <c r="B492" s="12" t="n">
        <v>11</v>
      </c>
      <c r="C492" s="13" t="n">
        <v>0.359913333333333</v>
      </c>
      <c r="D492" s="13" t="n">
        <v>1.33820186160564</v>
      </c>
      <c r="E492" s="13" t="n">
        <v>-0.978288528272305</v>
      </c>
      <c r="F492" s="13" t="n">
        <v>-0.113148898521672</v>
      </c>
      <c r="G492" s="13" t="n">
        <v>-0.042255479210129</v>
      </c>
      <c r="H492" s="13" t="n">
        <v>0.0218430997195545</v>
      </c>
      <c r="I492" s="13" t="n">
        <v>-0.0265134800851234</v>
      </c>
      <c r="J492" s="13" t="n">
        <v>-0.131857106974994</v>
      </c>
      <c r="K492" s="13" t="n">
        <v>-0.686356663199941</v>
      </c>
    </row>
    <row r="493" customFormat="false" ht="15" hidden="false" customHeight="false" outlineLevel="0" collapsed="false">
      <c r="A493" s="12" t="n">
        <v>2003</v>
      </c>
      <c r="B493" s="12" t="n">
        <v>12</v>
      </c>
      <c r="C493" s="13" t="n">
        <v>0.262916129032258</v>
      </c>
      <c r="D493" s="13" t="n">
        <v>1.18126459879959</v>
      </c>
      <c r="E493" s="13" t="n">
        <v>-0.918348469767335</v>
      </c>
      <c r="F493" s="13" t="n">
        <v>-0.0446817176920714</v>
      </c>
      <c r="G493" s="13" t="n">
        <v>-0.052558393628675</v>
      </c>
      <c r="H493" s="13" t="n">
        <v>0.0357230995070502</v>
      </c>
      <c r="I493" s="13" t="n">
        <v>-0.0439214603868869</v>
      </c>
      <c r="J493" s="13" t="n">
        <v>-0.132624131717675</v>
      </c>
      <c r="K493" s="13" t="n">
        <v>-0.680285865849076</v>
      </c>
    </row>
    <row r="494" customFormat="false" ht="15" hidden="false" customHeight="false" outlineLevel="0" collapsed="false">
      <c r="A494" s="12" t="n">
        <v>2004</v>
      </c>
      <c r="B494" s="12" t="n">
        <v>1</v>
      </c>
      <c r="C494" s="13" t="n">
        <v>0.513138709677419</v>
      </c>
      <c r="D494" s="13" t="n">
        <v>1.15425950072203</v>
      </c>
      <c r="E494" s="13" t="n">
        <v>-0.641120791044613</v>
      </c>
      <c r="F494" s="13" t="n">
        <v>0.220546222939056</v>
      </c>
      <c r="G494" s="13" t="n">
        <v>-0.0354056776234799</v>
      </c>
      <c r="H494" s="13" t="n">
        <v>0.0424424813348262</v>
      </c>
      <c r="I494" s="13" t="n">
        <v>-0.0580769662332503</v>
      </c>
      <c r="J494" s="13" t="n">
        <v>-0.13133203985018</v>
      </c>
      <c r="K494" s="13" t="n">
        <v>-0.679294811611585</v>
      </c>
    </row>
    <row r="495" customFormat="false" ht="15" hidden="false" customHeight="false" outlineLevel="0" collapsed="false">
      <c r="A495" s="12" t="n">
        <v>2004</v>
      </c>
      <c r="B495" s="12" t="n">
        <v>2</v>
      </c>
      <c r="C495" s="13" t="n">
        <v>0.422775862068966</v>
      </c>
      <c r="D495" s="13" t="n">
        <v>1.31180357001554</v>
      </c>
      <c r="E495" s="13" t="n">
        <v>-0.889027707946578</v>
      </c>
      <c r="F495" s="13" t="n">
        <v>-0.030877019952608</v>
      </c>
      <c r="G495" s="13" t="n">
        <v>-0.0178767248580119</v>
      </c>
      <c r="H495" s="13" t="n">
        <v>0.0404135432713251</v>
      </c>
      <c r="I495" s="13" t="n">
        <v>-0.067573780318276</v>
      </c>
      <c r="J495" s="13" t="n">
        <v>-0.128467224709453</v>
      </c>
      <c r="K495" s="13" t="n">
        <v>-0.684646501379554</v>
      </c>
    </row>
    <row r="496" customFormat="false" ht="15" hidden="false" customHeight="false" outlineLevel="0" collapsed="false">
      <c r="A496" s="12" t="n">
        <v>2004</v>
      </c>
      <c r="B496" s="12" t="n">
        <v>3</v>
      </c>
      <c r="C496" s="13" t="n">
        <v>0.508783870967742</v>
      </c>
      <c r="D496" s="13" t="n">
        <v>1.4696036344276</v>
      </c>
      <c r="E496" s="13" t="n">
        <v>-0.960819763459854</v>
      </c>
      <c r="F496" s="13" t="n">
        <v>-0.0964953220183956</v>
      </c>
      <c r="G496" s="13" t="n">
        <v>-0.0102074314081475</v>
      </c>
      <c r="H496" s="13" t="n">
        <v>0.0298775108279287</v>
      </c>
      <c r="I496" s="13" t="n">
        <v>-0.0713663269525292</v>
      </c>
      <c r="J496" s="13" t="n">
        <v>-0.124587337044231</v>
      </c>
      <c r="K496" s="13" t="n">
        <v>-0.68804085686448</v>
      </c>
    </row>
    <row r="497" customFormat="false" ht="15" hidden="false" customHeight="false" outlineLevel="0" collapsed="false">
      <c r="A497" s="12" t="n">
        <v>2004</v>
      </c>
      <c r="B497" s="12" t="n">
        <v>4</v>
      </c>
      <c r="C497" s="13" t="n">
        <v>0.65826</v>
      </c>
      <c r="D497" s="13" t="n">
        <v>1.55224756721872</v>
      </c>
      <c r="E497" s="13" t="n">
        <v>-0.893987567218715</v>
      </c>
      <c r="F497" s="13" t="n">
        <v>-0.0342962861007694</v>
      </c>
      <c r="G497" s="13" t="n">
        <v>0.000485887543639086</v>
      </c>
      <c r="H497" s="13" t="n">
        <v>0.0128548603410538</v>
      </c>
      <c r="I497" s="13" t="n">
        <v>-0.0688866282678658</v>
      </c>
      <c r="J497" s="13" t="n">
        <v>-0.12029152589383</v>
      </c>
      <c r="K497" s="13" t="n">
        <v>-0.683853874840943</v>
      </c>
    </row>
    <row r="498" customFormat="false" ht="15" hidden="false" customHeight="false" outlineLevel="0" collapsed="false">
      <c r="A498" s="12" t="n">
        <v>2004</v>
      </c>
      <c r="B498" s="12" t="n">
        <v>5</v>
      </c>
      <c r="C498" s="13" t="n">
        <v>0.570590322580645</v>
      </c>
      <c r="D498" s="13" t="n">
        <v>1.32053267083285</v>
      </c>
      <c r="E498" s="13" t="n">
        <v>-0.749942348252207</v>
      </c>
      <c r="F498" s="13" t="n">
        <v>0.0851734307873752</v>
      </c>
      <c r="G498" s="13" t="n">
        <v>0.027236765807328</v>
      </c>
      <c r="H498" s="13" t="n">
        <v>-0.00727101208835619</v>
      </c>
      <c r="I498" s="13" t="n">
        <v>-0.0601219707162993</v>
      </c>
      <c r="J498" s="13" t="n">
        <v>-0.116186136340308</v>
      </c>
      <c r="K498" s="13" t="n">
        <v>-0.678773425701946</v>
      </c>
    </row>
    <row r="499" customFormat="false" ht="15" hidden="false" customHeight="false" outlineLevel="0" collapsed="false">
      <c r="A499" s="12" t="n">
        <v>2004</v>
      </c>
      <c r="B499" s="12" t="n">
        <v>6</v>
      </c>
      <c r="C499" s="13" t="n">
        <v>-0.0482933333333333</v>
      </c>
      <c r="D499" s="13" t="n">
        <v>0.75615255993234</v>
      </c>
      <c r="E499" s="13" t="n">
        <v>-0.804445893265674</v>
      </c>
      <c r="F499" s="13" t="n">
        <v>0.00410441691935661</v>
      </c>
      <c r="G499" s="13" t="n">
        <v>0.0591401096278253</v>
      </c>
      <c r="H499" s="13" t="n">
        <v>-0.0264479217271814</v>
      </c>
      <c r="I499" s="13" t="n">
        <v>-0.0456432073573401</v>
      </c>
      <c r="J499" s="13" t="n">
        <v>-0.112847462818495</v>
      </c>
      <c r="K499" s="13" t="n">
        <v>-0.682751827909839</v>
      </c>
    </row>
    <row r="500" customFormat="false" ht="15" hidden="false" customHeight="false" outlineLevel="0" collapsed="false">
      <c r="A500" s="12" t="n">
        <v>2004</v>
      </c>
      <c r="B500" s="12" t="n">
        <v>7</v>
      </c>
      <c r="C500" s="13" t="n">
        <v>-0.48811935483871</v>
      </c>
      <c r="D500" s="13" t="n">
        <v>0.434885854067969</v>
      </c>
      <c r="E500" s="13" t="n">
        <v>-0.923005208906679</v>
      </c>
      <c r="F500" s="13" t="n">
        <v>-0.114303250781519</v>
      </c>
      <c r="G500" s="13" t="n">
        <v>0.0650709231535017</v>
      </c>
      <c r="H500" s="13" t="n">
        <v>-0.0407832731857156</v>
      </c>
      <c r="I500" s="13" t="n">
        <v>-0.0265780108034322</v>
      </c>
      <c r="J500" s="13" t="n">
        <v>-0.11078357066871</v>
      </c>
      <c r="K500" s="13" t="n">
        <v>-0.695628026620804</v>
      </c>
    </row>
    <row r="501" customFormat="false" ht="15" hidden="false" customHeight="false" outlineLevel="0" collapsed="false">
      <c r="A501" s="12" t="n">
        <v>2004</v>
      </c>
      <c r="B501" s="12" t="n">
        <v>8</v>
      </c>
      <c r="C501" s="13" t="n">
        <v>-0.0406161290322581</v>
      </c>
      <c r="D501" s="13" t="n">
        <v>0.640947112333328</v>
      </c>
      <c r="E501" s="13" t="n">
        <v>-0.681563241365585</v>
      </c>
      <c r="F501" s="13" t="n">
        <v>0.165097725761465</v>
      </c>
      <c r="G501" s="13" t="n">
        <v>0.0243449089895656</v>
      </c>
      <c r="H501" s="13" t="n">
        <v>-0.0473377456221812</v>
      </c>
      <c r="I501" s="13" t="n">
        <v>-0.00452865721907472</v>
      </c>
      <c r="J501" s="13" t="n">
        <v>-0.110397493789047</v>
      </c>
      <c r="K501" s="13" t="n">
        <v>-0.708741979486313</v>
      </c>
    </row>
    <row r="502" customFormat="false" ht="15" hidden="false" customHeight="false" outlineLevel="0" collapsed="false">
      <c r="A502" s="12" t="n">
        <v>2004</v>
      </c>
      <c r="B502" s="12" t="n">
        <v>9</v>
      </c>
      <c r="C502" s="13" t="n">
        <v>0.0951566666666667</v>
      </c>
      <c r="D502" s="13" t="n">
        <v>1.06536786216494</v>
      </c>
      <c r="E502" s="13" t="n">
        <v>-0.97021119549827</v>
      </c>
      <c r="F502" s="13" t="n">
        <v>-0.0696830851561673</v>
      </c>
      <c r="G502" s="13" t="n">
        <v>-0.0460232165434674</v>
      </c>
      <c r="H502" s="13" t="n">
        <v>-0.0447237615606415</v>
      </c>
      <c r="I502" s="13" t="n">
        <v>0.018560446236809</v>
      </c>
      <c r="J502" s="13" t="n">
        <v>-0.111954213936542</v>
      </c>
      <c r="K502" s="13" t="n">
        <v>-0.716387364538261</v>
      </c>
    </row>
    <row r="503" customFormat="false" ht="15" hidden="false" customHeight="false" outlineLevel="0" collapsed="false">
      <c r="A503" s="12" t="n">
        <v>2004</v>
      </c>
      <c r="B503" s="12" t="n">
        <v>10</v>
      </c>
      <c r="C503" s="13" t="n">
        <v>0.470535483870968</v>
      </c>
      <c r="D503" s="13" t="n">
        <v>1.41189047794136</v>
      </c>
      <c r="E503" s="13" t="n">
        <v>-0.941354994070389</v>
      </c>
      <c r="F503" s="13" t="n">
        <v>-0.0149217558390552</v>
      </c>
      <c r="G503" s="13" t="n">
        <v>-0.0972370070985479</v>
      </c>
      <c r="H503" s="13" t="n">
        <v>-0.0333884635383088</v>
      </c>
      <c r="I503" s="13" t="n">
        <v>0.0405748608587068</v>
      </c>
      <c r="J503" s="13" t="n">
        <v>-0.115553746744069</v>
      </c>
      <c r="K503" s="13" t="n">
        <v>-0.720828881709115</v>
      </c>
    </row>
    <row r="504" customFormat="false" ht="15" hidden="false" customHeight="false" outlineLevel="0" collapsed="false">
      <c r="A504" s="12" t="n">
        <v>2004</v>
      </c>
      <c r="B504" s="12" t="n">
        <v>11</v>
      </c>
      <c r="C504" s="13" t="n">
        <v>0.60123</v>
      </c>
      <c r="D504" s="13" t="n">
        <v>1.48355057400793</v>
      </c>
      <c r="E504" s="13" t="n">
        <v>-0.882320574007933</v>
      </c>
      <c r="F504" s="13" t="n">
        <v>0.00939963453239132</v>
      </c>
      <c r="G504" s="13" t="n">
        <v>-0.0868649176671868</v>
      </c>
      <c r="H504" s="13" t="n">
        <v>-0.0155249497878551</v>
      </c>
      <c r="I504" s="13" t="n">
        <v>0.0594266024597522</v>
      </c>
      <c r="J504" s="13" t="n">
        <v>-0.121112459622316</v>
      </c>
      <c r="K504" s="13" t="n">
        <v>-0.727644483922719</v>
      </c>
    </row>
    <row r="505" customFormat="false" ht="15" hidden="false" customHeight="false" outlineLevel="0" collapsed="false">
      <c r="A505" s="12" t="n">
        <v>2004</v>
      </c>
      <c r="B505" s="12" t="n">
        <v>12</v>
      </c>
      <c r="C505" s="13" t="n">
        <v>0.485170967741936</v>
      </c>
      <c r="D505" s="13" t="n">
        <v>1.33134866219949</v>
      </c>
      <c r="E505" s="13" t="n">
        <v>-0.846177694457556</v>
      </c>
      <c r="F505" s="13" t="n">
        <v>-0.0402616665673302</v>
      </c>
      <c r="G505" s="13" t="n">
        <v>-0.0165664060749947</v>
      </c>
      <c r="H505" s="13" t="n">
        <v>0.00536934717085984</v>
      </c>
      <c r="I505" s="13" t="n">
        <v>0.0732565072577995</v>
      </c>
      <c r="J505" s="13" t="n">
        <v>-0.128354481967823</v>
      </c>
      <c r="K505" s="13" t="n">
        <v>-0.739620994276067</v>
      </c>
    </row>
    <row r="506" customFormat="false" ht="15" hidden="false" customHeight="false" outlineLevel="0" collapsed="false">
      <c r="A506" s="12" t="n">
        <v>2005</v>
      </c>
      <c r="B506" s="12" t="n">
        <v>1</v>
      </c>
      <c r="C506" s="13" t="n">
        <v>0.5622</v>
      </c>
      <c r="D506" s="13" t="n">
        <v>1.30878819689114</v>
      </c>
      <c r="E506" s="13" t="n">
        <v>-0.746588196891135</v>
      </c>
      <c r="F506" s="13" t="n">
        <v>-0.0259881907607563</v>
      </c>
      <c r="G506" s="13" t="n">
        <v>0.0653361935962179</v>
      </c>
      <c r="H506" s="13" t="n">
        <v>0.0251969614649853</v>
      </c>
      <c r="I506" s="13" t="n">
        <v>0.0806224685685048</v>
      </c>
      <c r="J506" s="13" t="n">
        <v>-0.136814761200543</v>
      </c>
      <c r="K506" s="13" t="n">
        <v>-0.754940868559543</v>
      </c>
    </row>
    <row r="507" customFormat="false" ht="15" hidden="false" customHeight="false" outlineLevel="0" collapsed="false">
      <c r="A507" s="12" t="n">
        <v>2005</v>
      </c>
      <c r="B507" s="12" t="n">
        <v>2</v>
      </c>
      <c r="C507" s="13" t="n">
        <v>0.919785714285714</v>
      </c>
      <c r="D507" s="13" t="n">
        <v>1.47048139011637</v>
      </c>
      <c r="E507" s="13" t="n">
        <v>-0.550695675830652</v>
      </c>
      <c r="F507" s="13" t="n">
        <v>0.142064031119642</v>
      </c>
      <c r="G507" s="13" t="n">
        <v>0.100754946358749</v>
      </c>
      <c r="H507" s="13" t="n">
        <v>0.0400840966522405</v>
      </c>
      <c r="I507" s="13" t="n">
        <v>0.0806540477609977</v>
      </c>
      <c r="J507" s="13" t="n">
        <v>-0.145854909658948</v>
      </c>
      <c r="K507" s="13" t="n">
        <v>-0.768397888063334</v>
      </c>
    </row>
    <row r="508" customFormat="false" ht="15" hidden="false" customHeight="false" outlineLevel="0" collapsed="false">
      <c r="A508" s="12" t="n">
        <v>2005</v>
      </c>
      <c r="B508" s="12" t="n">
        <v>3</v>
      </c>
      <c r="C508" s="13" t="n">
        <v>0.867741935483871</v>
      </c>
      <c r="D508" s="13" t="n">
        <v>1.63213106098696</v>
      </c>
      <c r="E508" s="13" t="n">
        <v>-0.764389125503093</v>
      </c>
      <c r="F508" s="13" t="n">
        <v>-0.0237019301061746</v>
      </c>
      <c r="G508" s="13" t="n">
        <v>0.0673719080050686</v>
      </c>
      <c r="H508" s="13" t="n">
        <v>0.0471564186583146</v>
      </c>
      <c r="I508" s="13" t="n">
        <v>0.0731565343567502</v>
      </c>
      <c r="J508" s="13" t="n">
        <v>-0.154692345644697</v>
      </c>
      <c r="K508" s="13" t="n">
        <v>-0.773679710772356</v>
      </c>
    </row>
    <row r="509" customFormat="false" ht="15" hidden="false" customHeight="false" outlineLevel="0" collapsed="false">
      <c r="A509" s="12" t="n">
        <v>2005</v>
      </c>
      <c r="B509" s="12" t="n">
        <v>4</v>
      </c>
      <c r="C509" s="13" t="n">
        <v>0.776166666666667</v>
      </c>
      <c r="D509" s="13" t="n">
        <v>1.71832186156469</v>
      </c>
      <c r="E509" s="13" t="n">
        <v>-0.942155194898027</v>
      </c>
      <c r="F509" s="13" t="n">
        <v>-0.109832933797122</v>
      </c>
      <c r="G509" s="13" t="n">
        <v>-0.00559535886100797</v>
      </c>
      <c r="H509" s="13" t="n">
        <v>0.045109709960543</v>
      </c>
      <c r="I509" s="13" t="n">
        <v>0.0586519836991549</v>
      </c>
      <c r="J509" s="13" t="n">
        <v>-0.162442255148902</v>
      </c>
      <c r="K509" s="13" t="n">
        <v>-0.768046340750693</v>
      </c>
    </row>
    <row r="510" customFormat="false" ht="15" hidden="false" customHeight="false" outlineLevel="0" collapsed="false">
      <c r="A510" s="12" t="n">
        <v>2005</v>
      </c>
      <c r="B510" s="12" t="n">
        <v>5</v>
      </c>
      <c r="C510" s="13" t="n">
        <v>0.6124</v>
      </c>
      <c r="D510" s="13" t="n">
        <v>1.48984866363814</v>
      </c>
      <c r="E510" s="13" t="n">
        <v>-0.877448663638143</v>
      </c>
      <c r="F510" s="13" t="n">
        <v>0.0382314273074082</v>
      </c>
      <c r="G510" s="13" t="n">
        <v>-0.0632945118191894</v>
      </c>
      <c r="H510" s="13" t="n">
        <v>0.0344603807770646</v>
      </c>
      <c r="I510" s="13" t="n">
        <v>0.038350707440458</v>
      </c>
      <c r="J510" s="13" t="n">
        <v>-0.168170635459651</v>
      </c>
      <c r="K510" s="13" t="n">
        <v>-0.757026031884234</v>
      </c>
    </row>
    <row r="511" customFormat="false" ht="15" hidden="false" customHeight="false" outlineLevel="0" collapsed="false">
      <c r="A511" s="12" t="n">
        <v>2005</v>
      </c>
      <c r="B511" s="12" t="n">
        <v>6</v>
      </c>
      <c r="C511" s="13" t="n">
        <v>-0.00607000000000001</v>
      </c>
      <c r="D511" s="13" t="n">
        <v>0.928403442495826</v>
      </c>
      <c r="E511" s="13" t="n">
        <v>-0.934473442495826</v>
      </c>
      <c r="F511" s="13" t="n">
        <v>0.0251635106977645</v>
      </c>
      <c r="G511" s="13" t="n">
        <v>-0.0689577351546729</v>
      </c>
      <c r="H511" s="13" t="n">
        <v>0.017426509428993</v>
      </c>
      <c r="I511" s="13" t="n">
        <v>0.0140535646511329</v>
      </c>
      <c r="J511" s="13" t="n">
        <v>-0.170955362449077</v>
      </c>
      <c r="K511" s="13" t="n">
        <v>-0.751203929669967</v>
      </c>
    </row>
    <row r="512" customFormat="false" ht="15" hidden="false" customHeight="false" outlineLevel="0" collapsed="false">
      <c r="A512" s="12" t="n">
        <v>2005</v>
      </c>
      <c r="B512" s="12" t="n">
        <v>7</v>
      </c>
      <c r="C512" s="13" t="n">
        <v>-0.375587096774194</v>
      </c>
      <c r="D512" s="13" t="n">
        <v>0.609763967949224</v>
      </c>
      <c r="E512" s="13" t="n">
        <v>-0.985351064723418</v>
      </c>
      <c r="F512" s="13" t="n">
        <v>-0.0164576065129539</v>
      </c>
      <c r="G512" s="13" t="n">
        <v>-0.0286976303772735</v>
      </c>
      <c r="H512" s="13" t="n">
        <v>-0.00253436099844457</v>
      </c>
      <c r="I512" s="13" t="n">
        <v>-0.0120074916660114</v>
      </c>
      <c r="J512" s="13" t="n">
        <v>-0.169951156264532</v>
      </c>
      <c r="K512" s="13" t="n">
        <v>-0.755702818904202</v>
      </c>
    </row>
    <row r="513" customFormat="false" ht="15" hidden="false" customHeight="false" outlineLevel="0" collapsed="false">
      <c r="A513" s="12" t="n">
        <v>2005</v>
      </c>
      <c r="B513" s="12" t="n">
        <v>8</v>
      </c>
      <c r="C513" s="13" t="n">
        <v>-0.145222580645161</v>
      </c>
      <c r="D513" s="13" t="n">
        <v>0.81814473501943</v>
      </c>
      <c r="E513" s="13" t="n">
        <v>-0.963367315664591</v>
      </c>
      <c r="F513" s="13" t="n">
        <v>0.00525719100377087</v>
      </c>
      <c r="G513" s="13" t="n">
        <v>0.0200015294992492</v>
      </c>
      <c r="H513" s="13" t="n">
        <v>-0.0214345541977636</v>
      </c>
      <c r="I513" s="13" t="n">
        <v>-0.0373765606235268</v>
      </c>
      <c r="J513" s="13" t="n">
        <v>-0.164453695240536</v>
      </c>
      <c r="K513" s="13" t="n">
        <v>-0.765361226105784</v>
      </c>
    </row>
    <row r="514" customFormat="false" ht="15" hidden="false" customHeight="false" outlineLevel="0" collapsed="false">
      <c r="A514" s="12" t="n">
        <v>2005</v>
      </c>
      <c r="B514" s="12" t="n">
        <v>9</v>
      </c>
      <c r="C514" s="13" t="n">
        <v>0.280293333333333</v>
      </c>
      <c r="D514" s="13" t="n">
        <v>1.24457798640077</v>
      </c>
      <c r="E514" s="13" t="n">
        <v>-0.964284653067441</v>
      </c>
      <c r="F514" s="13" t="n">
        <v>0.0150054176589102</v>
      </c>
      <c r="G514" s="13" t="n">
        <v>0.0417863830362263</v>
      </c>
      <c r="H514" s="13" t="n">
        <v>-0.0355666531191276</v>
      </c>
      <c r="I514" s="13" t="n">
        <v>-0.0596092101140836</v>
      </c>
      <c r="J514" s="13" t="n">
        <v>-0.153957967407667</v>
      </c>
      <c r="K514" s="13" t="n">
        <v>-0.771942623121699</v>
      </c>
    </row>
    <row r="515" customFormat="false" ht="15" hidden="false" customHeight="false" outlineLevel="0" collapsed="false">
      <c r="A515" s="12" t="n">
        <v>2005</v>
      </c>
      <c r="B515" s="12" t="n">
        <v>10</v>
      </c>
      <c r="C515" s="13" t="n">
        <v>0.55838064516129</v>
      </c>
      <c r="D515" s="13" t="n">
        <v>1.59280758242087</v>
      </c>
      <c r="E515" s="13" t="n">
        <v>-1.03442693725958</v>
      </c>
      <c r="F515" s="13" t="n">
        <v>-0.0334777502006224</v>
      </c>
      <c r="G515" s="13" t="n">
        <v>0.0289934528597713</v>
      </c>
      <c r="H515" s="13" t="n">
        <v>-0.0422489892760131</v>
      </c>
      <c r="I515" s="13" t="n">
        <v>-0.0765132115416036</v>
      </c>
      <c r="J515" s="13" t="n">
        <v>-0.13820620428294</v>
      </c>
      <c r="K515" s="13" t="n">
        <v>-0.772974234818173</v>
      </c>
    </row>
    <row r="516" customFormat="false" ht="15" hidden="false" customHeight="false" outlineLevel="0" collapsed="false">
      <c r="A516" s="12" t="n">
        <v>2005</v>
      </c>
      <c r="B516" s="12" t="n">
        <v>11</v>
      </c>
      <c r="C516" s="13" t="n">
        <v>0.726146666666667</v>
      </c>
      <c r="D516" s="13" t="n">
        <v>1.6658713831576</v>
      </c>
      <c r="E516" s="13" t="n">
        <v>-0.939724716490936</v>
      </c>
      <c r="F516" s="13" t="n">
        <v>0.0750037763041142</v>
      </c>
      <c r="G516" s="13" t="n">
        <v>0.000716335096437194</v>
      </c>
      <c r="H516" s="13" t="n">
        <v>-0.0403543906948253</v>
      </c>
      <c r="I516" s="13" t="n">
        <v>-0.0863703848433337</v>
      </c>
      <c r="J516" s="13" t="n">
        <v>-0.11722136487618</v>
      </c>
      <c r="K516" s="13" t="n">
        <v>-0.771498687477148</v>
      </c>
    </row>
    <row r="517" customFormat="false" ht="15" hidden="false" customHeight="false" outlineLevel="0" collapsed="false">
      <c r="A517" s="12" t="n">
        <v>2005</v>
      </c>
      <c r="B517" s="12" t="n">
        <v>12</v>
      </c>
      <c r="C517" s="13" t="n">
        <v>0.459654838709677</v>
      </c>
      <c r="D517" s="13" t="n">
        <v>1.51477289280074</v>
      </c>
      <c r="E517" s="13" t="n">
        <v>-1.05511805409106</v>
      </c>
      <c r="F517" s="13" t="n">
        <v>-0.0558251914035545</v>
      </c>
      <c r="G517" s="13" t="n">
        <v>-0.0183721559793771</v>
      </c>
      <c r="H517" s="13" t="n">
        <v>-0.0305155416102216</v>
      </c>
      <c r="I517" s="13" t="n">
        <v>-0.0881165730410762</v>
      </c>
      <c r="J517" s="13" t="n">
        <v>-0.0913230823259701</v>
      </c>
      <c r="K517" s="13" t="n">
        <v>-0.77096550973086</v>
      </c>
    </row>
    <row r="518" customFormat="false" ht="15" hidden="false" customHeight="false" outlineLevel="0" collapsed="false">
      <c r="A518" s="12" t="n">
        <v>2006</v>
      </c>
      <c r="B518" s="12" t="n">
        <v>1</v>
      </c>
      <c r="C518" s="13" t="n">
        <v>0.444822580645161</v>
      </c>
      <c r="D518" s="13" t="n">
        <v>1.49301928935111</v>
      </c>
      <c r="E518" s="13" t="n">
        <v>-1.04819670870595</v>
      </c>
      <c r="F518" s="13" t="n">
        <v>-0.0979606084088613</v>
      </c>
      <c r="G518" s="13" t="n">
        <v>-0.0180247987384138</v>
      </c>
      <c r="H518" s="13" t="n">
        <v>-0.0149672823764688</v>
      </c>
      <c r="I518" s="13" t="n">
        <v>-0.081460422555933</v>
      </c>
      <c r="J518" s="13" t="n">
        <v>-0.061124198529239</v>
      </c>
      <c r="K518" s="13" t="n">
        <v>-0.774659398097037</v>
      </c>
    </row>
    <row r="519" customFormat="false" ht="15" hidden="false" customHeight="false" outlineLevel="0" collapsed="false">
      <c r="A519" s="12" t="n">
        <v>2006</v>
      </c>
      <c r="B519" s="12" t="n">
        <v>2</v>
      </c>
      <c r="C519" s="13" t="n">
        <v>0.895485714285714</v>
      </c>
      <c r="D519" s="13" t="n">
        <v>1.65522722224814</v>
      </c>
      <c r="E519" s="13" t="n">
        <v>-0.759741507962425</v>
      </c>
      <c r="F519" s="13" t="n">
        <v>0.124207710255101</v>
      </c>
      <c r="G519" s="13" t="n">
        <v>-0.00554744865773406</v>
      </c>
      <c r="H519" s="13" t="n">
        <v>0.00293880601002463</v>
      </c>
      <c r="I519" s="13" t="n">
        <v>-0.0669274187225653</v>
      </c>
      <c r="J519" s="13" t="n">
        <v>-0.0275074340186672</v>
      </c>
      <c r="K519" s="13" t="n">
        <v>-0.786905722828584</v>
      </c>
    </row>
    <row r="520" customFormat="false" ht="15" hidden="false" customHeight="false" outlineLevel="0" collapsed="false">
      <c r="A520" s="12" t="n">
        <v>2006</v>
      </c>
      <c r="B520" s="12" t="n">
        <v>3</v>
      </c>
      <c r="C520" s="13" t="n">
        <v>1.05753548387097</v>
      </c>
      <c r="D520" s="13" t="n">
        <v>1.81710464221612</v>
      </c>
      <c r="E520" s="13" t="n">
        <v>-0.759569158345151</v>
      </c>
      <c r="F520" s="13" t="n">
        <v>0.0602257747791759</v>
      </c>
      <c r="G520" s="13" t="n">
        <v>0.00575508140114117</v>
      </c>
      <c r="H520" s="13" t="n">
        <v>0.0194445792277853</v>
      </c>
      <c r="I520" s="13" t="n">
        <v>-0.0458229661858133</v>
      </c>
      <c r="J520" s="13" t="n">
        <v>0.00841671542486878</v>
      </c>
      <c r="K520" s="13" t="n">
        <v>-0.807588342992309</v>
      </c>
    </row>
    <row r="521" customFormat="false" ht="15" hidden="false" customHeight="false" outlineLevel="0" collapsed="false">
      <c r="A521" s="12" t="n">
        <v>2006</v>
      </c>
      <c r="B521" s="12" t="n">
        <v>4</v>
      </c>
      <c r="C521" s="13" t="n">
        <v>1.02869</v>
      </c>
      <c r="D521" s="13" t="n">
        <v>1.9032420055521</v>
      </c>
      <c r="E521" s="13" t="n">
        <v>-0.874552005552095</v>
      </c>
      <c r="F521" s="13" t="n">
        <v>-0.113477255485358</v>
      </c>
      <c r="G521" s="13" t="n">
        <v>0.0087410590982965</v>
      </c>
      <c r="H521" s="13" t="n">
        <v>0.0311711329918847</v>
      </c>
      <c r="I521" s="13" t="n">
        <v>-0.0201164792324859</v>
      </c>
      <c r="J521" s="13" t="n">
        <v>0.0453682490914362</v>
      </c>
      <c r="K521" s="13" t="n">
        <v>-0.826238712015869</v>
      </c>
    </row>
    <row r="522" customFormat="false" ht="15" hidden="false" customHeight="false" outlineLevel="0" collapsed="false">
      <c r="A522" s="12" t="n">
        <v>2006</v>
      </c>
      <c r="B522" s="12" t="n">
        <v>5</v>
      </c>
      <c r="C522" s="13" t="n">
        <v>1.0184</v>
      </c>
      <c r="D522" s="13" t="n">
        <v>1.67444063737328</v>
      </c>
      <c r="E522" s="13" t="n">
        <v>-0.65604063737328</v>
      </c>
      <c r="F522" s="13" t="n">
        <v>0.043658694480135</v>
      </c>
      <c r="G522" s="13" t="n">
        <v>0.0049148526410067</v>
      </c>
      <c r="H522" s="13" t="n">
        <v>0.0358160197872412</v>
      </c>
      <c r="I522" s="13" t="n">
        <v>0.00774338297566766</v>
      </c>
      <c r="J522" s="13" t="n">
        <v>0.0819682079816563</v>
      </c>
      <c r="K522" s="13" t="n">
        <v>-0.830141795238987</v>
      </c>
    </row>
    <row r="523" customFormat="false" ht="15" hidden="false" customHeight="false" outlineLevel="0" collapsed="false">
      <c r="A523" s="12" t="n">
        <v>2006</v>
      </c>
      <c r="B523" s="12" t="n">
        <v>6</v>
      </c>
      <c r="C523" s="13" t="n">
        <v>0.328336666666667</v>
      </c>
      <c r="D523" s="13" t="n">
        <v>1.11239958999057</v>
      </c>
      <c r="E523" s="13" t="n">
        <v>-0.784062923323899</v>
      </c>
      <c r="F523" s="13" t="n">
        <v>-0.146811445451455</v>
      </c>
      <c r="G523" s="13" t="n">
        <v>-0.000781932522050955</v>
      </c>
      <c r="H523" s="13" t="n">
        <v>0.0326169297148913</v>
      </c>
      <c r="I523" s="13" t="n">
        <v>0.035064898080973</v>
      </c>
      <c r="J523" s="13" t="n">
        <v>0.116816696148711</v>
      </c>
      <c r="K523" s="13" t="n">
        <v>-0.820968069294968</v>
      </c>
    </row>
    <row r="524" customFormat="false" ht="15" hidden="false" customHeight="false" outlineLevel="0" collapsed="false">
      <c r="A524" s="12" t="n">
        <v>2006</v>
      </c>
      <c r="B524" s="12" t="n">
        <v>7</v>
      </c>
      <c r="C524" s="13" t="n">
        <v>0.43588064516129</v>
      </c>
      <c r="D524" s="13" t="n">
        <v>0.792904306775912</v>
      </c>
      <c r="E524" s="13" t="n">
        <v>-0.357023661614622</v>
      </c>
      <c r="F524" s="13" t="n">
        <v>0.233616226679108</v>
      </c>
      <c r="G524" s="13" t="n">
        <v>-0.00457725436343093</v>
      </c>
      <c r="H524" s="13" t="n">
        <v>0.0224865152814564</v>
      </c>
      <c r="I524" s="13" t="n">
        <v>0.0591777939152696</v>
      </c>
      <c r="J524" s="13" t="n">
        <v>0.14857305736759</v>
      </c>
      <c r="K524" s="13" t="n">
        <v>-0.816300000494615</v>
      </c>
    </row>
    <row r="525" customFormat="false" ht="15" hidden="false" customHeight="false" outlineLevel="0" collapsed="false">
      <c r="A525" s="12" t="n">
        <v>2006</v>
      </c>
      <c r="B525" s="12" t="n">
        <v>8</v>
      </c>
      <c r="C525" s="13" t="n">
        <v>0.361393548387097</v>
      </c>
      <c r="D525" s="13" t="n">
        <v>1.00017752397072</v>
      </c>
      <c r="E525" s="13" t="n">
        <v>-0.638783975583618</v>
      </c>
      <c r="F525" s="13" t="n">
        <v>-0.066076177174709</v>
      </c>
      <c r="G525" s="13" t="n">
        <v>-0.00432440765206544</v>
      </c>
      <c r="H525" s="13" t="n">
        <v>0.00779265237949337</v>
      </c>
      <c r="I525" s="13" t="n">
        <v>0.077699648762613</v>
      </c>
      <c r="J525" s="13" t="n">
        <v>0.176032747106877</v>
      </c>
      <c r="K525" s="13" t="n">
        <v>-0.829908439005827</v>
      </c>
    </row>
    <row r="526" customFormat="false" ht="15" hidden="false" customHeight="false" outlineLevel="0" collapsed="false">
      <c r="A526" s="12" t="n">
        <v>2006</v>
      </c>
      <c r="B526" s="12" t="n">
        <v>9</v>
      </c>
      <c r="C526" s="13" t="n">
        <v>0.76541</v>
      </c>
      <c r="D526" s="13" t="n">
        <v>1.42526026270388</v>
      </c>
      <c r="E526" s="13" t="n">
        <v>-0.659850262703879</v>
      </c>
      <c r="F526" s="13" t="n">
        <v>-0.0845301748811756</v>
      </c>
      <c r="G526" s="13" t="n">
        <v>0.000708141426943186</v>
      </c>
      <c r="H526" s="13" t="n">
        <v>-0.00816660349181058</v>
      </c>
      <c r="I526" s="13" t="n">
        <v>0.0887770629647277</v>
      </c>
      <c r="J526" s="13" t="n">
        <v>0.198195714182767</v>
      </c>
      <c r="K526" s="13" t="n">
        <v>-0.854834402905331</v>
      </c>
    </row>
    <row r="527" customFormat="false" ht="15" hidden="false" customHeight="false" outlineLevel="0" collapsed="false">
      <c r="A527" s="12" t="n">
        <v>2006</v>
      </c>
      <c r="B527" s="12" t="n">
        <v>10</v>
      </c>
      <c r="C527" s="13" t="n">
        <v>1.28054193548387</v>
      </c>
      <c r="D527" s="13" t="n">
        <v>1.77190566700516</v>
      </c>
      <c r="E527" s="13" t="n">
        <v>-0.491363731521292</v>
      </c>
      <c r="F527" s="13" t="n">
        <v>0.0881136213961856</v>
      </c>
      <c r="G527" s="13" t="n">
        <v>0.00786440534251733</v>
      </c>
      <c r="H527" s="13" t="n">
        <v>-0.0218796398192436</v>
      </c>
      <c r="I527" s="13" t="n">
        <v>0.0912766282446776</v>
      </c>
      <c r="J527" s="13" t="n">
        <v>0.214321824532228</v>
      </c>
      <c r="K527" s="13" t="n">
        <v>-0.871060571217656</v>
      </c>
    </row>
    <row r="528" customFormat="false" ht="15" hidden="false" customHeight="false" outlineLevel="0" collapsed="false">
      <c r="A528" s="12" t="n">
        <v>2006</v>
      </c>
      <c r="B528" s="12" t="n">
        <v>11</v>
      </c>
      <c r="C528" s="13" t="n">
        <v>1.16178</v>
      </c>
      <c r="D528" s="13" t="n">
        <v>1.843161352569</v>
      </c>
      <c r="E528" s="13" t="n">
        <v>-0.681381352568995</v>
      </c>
      <c r="F528" s="13" t="n">
        <v>-0.101936510943488</v>
      </c>
      <c r="G528" s="13" t="n">
        <v>0.010355764517504</v>
      </c>
      <c r="H528" s="13" t="n">
        <v>-0.0303755634440071</v>
      </c>
      <c r="I528" s="13" t="n">
        <v>0.0849055024480529</v>
      </c>
      <c r="J528" s="13" t="n">
        <v>0.223969930373677</v>
      </c>
      <c r="K528" s="13" t="n">
        <v>-0.868300475520733</v>
      </c>
    </row>
    <row r="529" customFormat="false" ht="15" hidden="false" customHeight="false" outlineLevel="0" collapsed="false">
      <c r="A529" s="12" t="n">
        <v>2006</v>
      </c>
      <c r="B529" s="12" t="n">
        <v>12</v>
      </c>
      <c r="C529" s="13" t="n">
        <v>1.11923870967742</v>
      </c>
      <c r="D529" s="13" t="n">
        <v>1.69004101650746</v>
      </c>
      <c r="E529" s="13" t="n">
        <v>-0.570802306830038</v>
      </c>
      <c r="F529" s="13" t="n">
        <v>0.0183339222204125</v>
      </c>
      <c r="G529" s="13" t="n">
        <v>0.0024182368793298</v>
      </c>
      <c r="H529" s="13" t="n">
        <v>-0.0318549661370587</v>
      </c>
      <c r="I529" s="13" t="n">
        <v>0.0702483609427149</v>
      </c>
      <c r="J529" s="13" t="n">
        <v>0.227018432587907</v>
      </c>
      <c r="K529" s="13" t="n">
        <v>-0.856966293323343</v>
      </c>
    </row>
    <row r="530" customFormat="false" ht="15" hidden="false" customHeight="false" outlineLevel="0" collapsed="false">
      <c r="A530" s="12" t="n">
        <v>2007</v>
      </c>
      <c r="B530" s="12" t="n">
        <v>1</v>
      </c>
      <c r="C530" s="13" t="n">
        <v>1.18383225806452</v>
      </c>
      <c r="D530" s="13" t="n">
        <v>1.666062431254</v>
      </c>
      <c r="E530" s="13" t="n">
        <v>-0.482230173189488</v>
      </c>
      <c r="F530" s="13" t="n">
        <v>0.139486219494403</v>
      </c>
      <c r="G530" s="13" t="n">
        <v>-0.0125854748985991</v>
      </c>
      <c r="H530" s="13" t="n">
        <v>-0.0260633577322054</v>
      </c>
      <c r="I530" s="13" t="n">
        <v>0.0487159445092924</v>
      </c>
      <c r="J530" s="13" t="n">
        <v>0.223666463885354</v>
      </c>
      <c r="K530" s="13" t="n">
        <v>-0.855449968447732</v>
      </c>
    </row>
    <row r="531" customFormat="false" ht="15" hidden="false" customHeight="false" outlineLevel="0" collapsed="false">
      <c r="A531" s="12" t="n">
        <v>2007</v>
      </c>
      <c r="B531" s="12" t="n">
        <v>2</v>
      </c>
      <c r="C531" s="13" t="n">
        <v>1.12543928571429</v>
      </c>
      <c r="D531" s="13" t="n">
        <v>1.82585320534416</v>
      </c>
      <c r="E531" s="13" t="n">
        <v>-0.70041391962987</v>
      </c>
      <c r="F531" s="13" t="n">
        <v>-0.032392640778012</v>
      </c>
      <c r="G531" s="13" t="n">
        <v>-0.0211816131359143</v>
      </c>
      <c r="H531" s="13" t="n">
        <v>-0.0143294783204039</v>
      </c>
      <c r="I531" s="13" t="n">
        <v>0.0224094907253627</v>
      </c>
      <c r="J531" s="13" t="n">
        <v>0.214416082337732</v>
      </c>
      <c r="K531" s="13" t="n">
        <v>-0.869335760458634</v>
      </c>
    </row>
    <row r="532" customFormat="false" ht="15" hidden="false" customHeight="false" outlineLevel="0" collapsed="false">
      <c r="A532" s="12" t="n">
        <v>2007</v>
      </c>
      <c r="B532" s="12" t="n">
        <v>3</v>
      </c>
      <c r="C532" s="13" t="n">
        <v>1.11106774193548</v>
      </c>
      <c r="D532" s="13" t="n">
        <v>1.98513257548733</v>
      </c>
      <c r="E532" s="13" t="n">
        <v>-0.874064833551848</v>
      </c>
      <c r="F532" s="13" t="n">
        <v>-0.170226390393774</v>
      </c>
      <c r="G532" s="13" t="n">
        <v>-0.0111800165123266</v>
      </c>
      <c r="H532" s="13" t="n">
        <v>0.000736731697597175</v>
      </c>
      <c r="I532" s="13" t="n">
        <v>-0.0060859241315251</v>
      </c>
      <c r="J532" s="13" t="n">
        <v>0.200037085154509</v>
      </c>
      <c r="K532" s="13" t="n">
        <v>-0.887346319366328</v>
      </c>
    </row>
    <row r="533" customFormat="false" ht="15" hidden="false" customHeight="false" outlineLevel="0" collapsed="false">
      <c r="A533" s="12" t="n">
        <v>2007</v>
      </c>
      <c r="B533" s="12" t="n">
        <v>4</v>
      </c>
      <c r="C533" s="13" t="n">
        <v>1.42497333333333</v>
      </c>
      <c r="D533" s="13" t="n">
        <v>2.06850257226721</v>
      </c>
      <c r="E533" s="13" t="n">
        <v>-0.643529238933877</v>
      </c>
      <c r="F533" s="13" t="n">
        <v>0.0765287111839743</v>
      </c>
      <c r="G533" s="13" t="n">
        <v>0.0135730512170674</v>
      </c>
      <c r="H533" s="13" t="n">
        <v>0.0158183882602283</v>
      </c>
      <c r="I533" s="13" t="n">
        <v>-0.0339586177018086</v>
      </c>
      <c r="J533" s="13" t="n">
        <v>0.18151716663233</v>
      </c>
      <c r="K533" s="13" t="n">
        <v>-0.897007938525669</v>
      </c>
    </row>
    <row r="534" customFormat="false" ht="15" hidden="false" customHeight="false" outlineLevel="0" collapsed="false">
      <c r="A534" s="12" t="n">
        <v>2007</v>
      </c>
      <c r="B534" s="12" t="n">
        <v>5</v>
      </c>
      <c r="C534" s="13" t="n">
        <v>1.17287419354839</v>
      </c>
      <c r="D534" s="13" t="n">
        <v>1.83677634410558</v>
      </c>
      <c r="E534" s="13" t="n">
        <v>-0.66390215055719</v>
      </c>
      <c r="F534" s="13" t="n">
        <v>0.0729402453959922</v>
      </c>
      <c r="G534" s="13" t="n">
        <v>0.0317205242228948</v>
      </c>
      <c r="H534" s="13" t="n">
        <v>0.027611852938047</v>
      </c>
      <c r="I534" s="13" t="n">
        <v>-0.058452162603987</v>
      </c>
      <c r="J534" s="13" t="n">
        <v>0.160001024922455</v>
      </c>
      <c r="K534" s="13" t="n">
        <v>-0.897723635432592</v>
      </c>
    </row>
    <row r="535" customFormat="false" ht="15" hidden="false" customHeight="false" outlineLevel="0" collapsed="false">
      <c r="A535" s="12" t="n">
        <v>2007</v>
      </c>
      <c r="B535" s="12" t="n">
        <v>6</v>
      </c>
      <c r="C535" s="13" t="n">
        <v>0.451923333333333</v>
      </c>
      <c r="D535" s="13" t="n">
        <v>1.27166497580598</v>
      </c>
      <c r="E535" s="13" t="n">
        <v>-0.819741642472644</v>
      </c>
      <c r="F535" s="13" t="n">
        <v>-0.03807665302091</v>
      </c>
      <c r="G535" s="13" t="n">
        <v>0.0221410201974469</v>
      </c>
      <c r="H535" s="13" t="n">
        <v>0.0335361683108656</v>
      </c>
      <c r="I535" s="13" t="n">
        <v>-0.0771431520433763</v>
      </c>
      <c r="J535" s="13" t="n">
        <v>0.136722565246608</v>
      </c>
      <c r="K535" s="13" t="n">
        <v>-0.896921591163278</v>
      </c>
    </row>
    <row r="536" customFormat="false" ht="15" hidden="false" customHeight="false" outlineLevel="0" collapsed="false">
      <c r="A536" s="12" t="n">
        <v>2007</v>
      </c>
      <c r="B536" s="12" t="n">
        <v>7</v>
      </c>
      <c r="C536" s="13" t="n">
        <v>0.1178</v>
      </c>
      <c r="D536" s="13" t="n">
        <v>0.948966112143985</v>
      </c>
      <c r="E536" s="13" t="n">
        <v>-0.831166112143985</v>
      </c>
      <c r="F536" s="13" t="n">
        <v>0.0259505406192057</v>
      </c>
      <c r="G536" s="13" t="n">
        <v>-0.0135844440963794</v>
      </c>
      <c r="H536" s="13" t="n">
        <v>0.0322790122055677</v>
      </c>
      <c r="I536" s="13" t="n">
        <v>-0.0881863430331783</v>
      </c>
      <c r="J536" s="13" t="n">
        <v>0.112934578231107</v>
      </c>
      <c r="K536" s="13" t="n">
        <v>-0.900559456070308</v>
      </c>
    </row>
    <row r="537" customFormat="false" ht="15" hidden="false" customHeight="false" outlineLevel="0" collapsed="false">
      <c r="A537" s="12" t="n">
        <v>2007</v>
      </c>
      <c r="B537" s="12" t="n">
        <v>8</v>
      </c>
      <c r="C537" s="13" t="n">
        <v>0.136106451612903</v>
      </c>
      <c r="D537" s="13" t="n">
        <v>1.15291481910097</v>
      </c>
      <c r="E537" s="13" t="n">
        <v>-1.01680836748807</v>
      </c>
      <c r="F537" s="13" t="n">
        <v>-0.0824892656314581</v>
      </c>
      <c r="G537" s="13" t="n">
        <v>-0.0469609051022049</v>
      </c>
      <c r="H537" s="13" t="n">
        <v>0.0240637383896855</v>
      </c>
      <c r="I537" s="13" t="n">
        <v>-0.0905018307254225</v>
      </c>
      <c r="J537" s="13" t="n">
        <v>0.0898402834427956</v>
      </c>
      <c r="K537" s="13" t="n">
        <v>-0.910760387861466</v>
      </c>
    </row>
    <row r="538" customFormat="false" ht="15" hidden="false" customHeight="false" outlineLevel="0" collapsed="false">
      <c r="A538" s="12" t="n">
        <v>2007</v>
      </c>
      <c r="B538" s="12" t="n">
        <v>9</v>
      </c>
      <c r="C538" s="13" t="n">
        <v>0.71845</v>
      </c>
      <c r="D538" s="13" t="n">
        <v>1.57456453513973</v>
      </c>
      <c r="E538" s="13" t="n">
        <v>-0.856114535139726</v>
      </c>
      <c r="F538" s="13" t="n">
        <v>0.120062600239777</v>
      </c>
      <c r="G538" s="13" t="n">
        <v>-0.0447358283959981</v>
      </c>
      <c r="H538" s="13" t="n">
        <v>0.0105842356404846</v>
      </c>
      <c r="I538" s="13" t="n">
        <v>-0.0838847628718292</v>
      </c>
      <c r="J538" s="13" t="n">
        <v>0.0685309242186445</v>
      </c>
      <c r="K538" s="13" t="n">
        <v>-0.926671703970804</v>
      </c>
    </row>
    <row r="539" customFormat="false" ht="15" hidden="false" customHeight="false" outlineLevel="0" collapsed="false">
      <c r="A539" s="12" t="n">
        <v>2007</v>
      </c>
      <c r="B539" s="12" t="n">
        <v>10</v>
      </c>
      <c r="C539" s="13" t="n">
        <v>0.84411935483871</v>
      </c>
      <c r="D539" s="13" t="n">
        <v>1.91768086841262</v>
      </c>
      <c r="E539" s="13" t="n">
        <v>-1.07356151357391</v>
      </c>
      <c r="F539" s="13" t="n">
        <v>-0.105602807377223</v>
      </c>
      <c r="G539" s="13" t="n">
        <v>7.71890625219344E-005</v>
      </c>
      <c r="H539" s="13" t="n">
        <v>-0.00537264818674731</v>
      </c>
      <c r="I539" s="13" t="n">
        <v>-0.0690260382237071</v>
      </c>
      <c r="J539" s="13" t="n">
        <v>0.0499331017717513</v>
      </c>
      <c r="K539" s="13" t="n">
        <v>-0.943570310620502</v>
      </c>
    </row>
    <row r="540" customFormat="false" ht="15" hidden="false" customHeight="false" outlineLevel="0" collapsed="false">
      <c r="A540" s="12" t="n">
        <v>2007</v>
      </c>
      <c r="B540" s="12" t="n">
        <v>11</v>
      </c>
      <c r="C540" s="13" t="n">
        <v>1.06233666666667</v>
      </c>
      <c r="D540" s="13" t="n">
        <v>1.98532390483503</v>
      </c>
      <c r="E540" s="13" t="n">
        <v>-0.922987238168363</v>
      </c>
      <c r="F540" s="13" t="n">
        <v>0.00877958698221435</v>
      </c>
      <c r="G540" s="13" t="n">
        <v>0.0571085732701298</v>
      </c>
      <c r="H540" s="13" t="n">
        <v>-0.0205298409921716</v>
      </c>
      <c r="I540" s="13" t="n">
        <v>-0.0474416243432148</v>
      </c>
      <c r="J540" s="13" t="n">
        <v>0.0347687177648938</v>
      </c>
      <c r="K540" s="13" t="n">
        <v>-0.955672650850214</v>
      </c>
    </row>
    <row r="541" customFormat="false" ht="15" hidden="false" customHeight="false" outlineLevel="0" collapsed="false">
      <c r="A541" s="12" t="n">
        <v>2007</v>
      </c>
      <c r="B541" s="12" t="n">
        <v>12</v>
      </c>
      <c r="C541" s="13" t="n">
        <v>0.901106451612903</v>
      </c>
      <c r="D541" s="13" t="n">
        <v>1.82851977733564</v>
      </c>
      <c r="E541" s="13" t="n">
        <v>-0.927413325722735</v>
      </c>
      <c r="F541" s="13" t="n">
        <v>-0.014772854672685</v>
      </c>
      <c r="G541" s="13" t="n">
        <v>0.0804849067591178</v>
      </c>
      <c r="H541" s="13" t="n">
        <v>-0.0318135324546345</v>
      </c>
      <c r="I541" s="13" t="n">
        <v>-0.021317615939463</v>
      </c>
      <c r="J541" s="13" t="n">
        <v>0.0235293363619853</v>
      </c>
      <c r="K541" s="13" t="n">
        <v>-0.963523565777056</v>
      </c>
    </row>
    <row r="542" customFormat="false" ht="15" hidden="false" customHeight="false" outlineLevel="0" collapsed="false">
      <c r="A542" s="12" t="n">
        <v>2008</v>
      </c>
      <c r="B542" s="12" t="n">
        <v>1</v>
      </c>
      <c r="C542" s="13" t="n">
        <v>0.95778064516129</v>
      </c>
      <c r="D542" s="13" t="n">
        <v>1.80079861961988</v>
      </c>
      <c r="E542" s="13" t="n">
        <v>-0.843017974458594</v>
      </c>
      <c r="F542" s="13" t="n">
        <v>0.0983839821507466</v>
      </c>
      <c r="G542" s="13" t="n">
        <v>0.046760519497062</v>
      </c>
      <c r="H542" s="13" t="n">
        <v>-0.0369864092752758</v>
      </c>
      <c r="I542" s="13" t="n">
        <v>0.00671306670264555</v>
      </c>
      <c r="J542" s="13" t="n">
        <v>0.0164656190295338</v>
      </c>
      <c r="K542" s="13" t="n">
        <v>-0.974354752563306</v>
      </c>
    </row>
    <row r="543" customFormat="false" ht="15" hidden="false" customHeight="false" outlineLevel="0" collapsed="false">
      <c r="A543" s="12" t="n">
        <v>2008</v>
      </c>
      <c r="B543" s="12" t="n">
        <v>2</v>
      </c>
      <c r="C543" s="13" t="n">
        <v>0.989548275862069</v>
      </c>
      <c r="D543" s="13" t="n">
        <v>1.9568002872834</v>
      </c>
      <c r="E543" s="13" t="n">
        <v>-0.967252011421329</v>
      </c>
      <c r="F543" s="13" t="n">
        <v>0.0356729896459878</v>
      </c>
      <c r="G543" s="13" t="n">
        <v>-0.0240909505815991</v>
      </c>
      <c r="H543" s="13" t="n">
        <v>-0.0350867160102516</v>
      </c>
      <c r="I543" s="13" t="n">
        <v>0.0338393004803764</v>
      </c>
      <c r="J543" s="13" t="n">
        <v>0.0135913797535024</v>
      </c>
      <c r="K543" s="13" t="n">
        <v>-0.991178014709345</v>
      </c>
    </row>
    <row r="544" customFormat="false" ht="15" hidden="false" customHeight="false" outlineLevel="0" collapsed="false">
      <c r="A544" s="12" t="n">
        <v>2008</v>
      </c>
      <c r="B544" s="12" t="n">
        <v>3</v>
      </c>
      <c r="C544" s="13" t="n">
        <v>0.948087096774194</v>
      </c>
      <c r="D544" s="13" t="n">
        <v>2.11225611080748</v>
      </c>
      <c r="E544" s="13" t="n">
        <v>-1.16416901403328</v>
      </c>
      <c r="F544" s="13" t="n">
        <v>-0.119766222106399</v>
      </c>
      <c r="G544" s="13" t="n">
        <v>-0.083677094363329</v>
      </c>
      <c r="H544" s="13" t="n">
        <v>-0.026585475030669</v>
      </c>
      <c r="I544" s="13" t="n">
        <v>0.0573579271921626</v>
      </c>
      <c r="J544" s="13" t="n">
        <v>0.0147008860268128</v>
      </c>
      <c r="K544" s="13" t="n">
        <v>-1.00619903575186</v>
      </c>
    </row>
    <row r="545" customFormat="false" ht="15" hidden="false" customHeight="false" outlineLevel="0" collapsed="false">
      <c r="A545" s="12" t="n">
        <v>2008</v>
      </c>
      <c r="B545" s="12" t="n">
        <v>4</v>
      </c>
      <c r="C545" s="13" t="n">
        <v>1.09269666666667</v>
      </c>
      <c r="D545" s="13" t="n">
        <v>2.19178002290752</v>
      </c>
      <c r="E545" s="13" t="n">
        <v>-1.09908335624085</v>
      </c>
      <c r="F545" s="13" t="n">
        <v>-0.0761077802954468</v>
      </c>
      <c r="G545" s="13" t="n">
        <v>-0.0930894516987145</v>
      </c>
      <c r="H545" s="13" t="n">
        <v>-0.013238631461152</v>
      </c>
      <c r="I545" s="13" t="n">
        <v>0.0749478636013317</v>
      </c>
      <c r="J545" s="13" t="n">
        <v>0.0193973368452082</v>
      </c>
      <c r="K545" s="13" t="n">
        <v>-1.01099269323208</v>
      </c>
    </row>
    <row r="546" customFormat="false" ht="15" hidden="false" customHeight="false" outlineLevel="0" collapsed="false">
      <c r="A546" s="12" t="n">
        <v>2008</v>
      </c>
      <c r="B546" s="12" t="n">
        <v>5</v>
      </c>
      <c r="C546" s="13" t="n">
        <v>1.12601935483871</v>
      </c>
      <c r="D546" s="13" t="n">
        <v>1.95619684499723</v>
      </c>
      <c r="E546" s="13" t="n">
        <v>-0.83017749015852</v>
      </c>
      <c r="F546" s="13" t="n">
        <v>0.115827411619451</v>
      </c>
      <c r="G546" s="13" t="n">
        <v>-0.0505776940627994</v>
      </c>
      <c r="H546" s="13" t="n">
        <v>0.00232144363009288</v>
      </c>
      <c r="I546" s="13" t="n">
        <v>0.0849038363408234</v>
      </c>
      <c r="J546" s="13" t="n">
        <v>0.0271299063163386</v>
      </c>
      <c r="K546" s="13" t="n">
        <v>-1.00978239400243</v>
      </c>
    </row>
    <row r="547" customFormat="false" ht="15" hidden="false" customHeight="false" outlineLevel="0" collapsed="false">
      <c r="A547" s="12" t="n">
        <v>2008</v>
      </c>
      <c r="B547" s="12" t="n">
        <v>6</v>
      </c>
      <c r="C547" s="13" t="n">
        <v>0.54764</v>
      </c>
      <c r="D547" s="13" t="n">
        <v>1.38722906918836</v>
      </c>
      <c r="E547" s="13" t="n">
        <v>-0.839589069188358</v>
      </c>
      <c r="F547" s="13" t="n">
        <v>0.0217902283707767</v>
      </c>
      <c r="G547" s="13" t="n">
        <v>0.0129679127311335</v>
      </c>
      <c r="H547" s="13" t="n">
        <v>0.0171552157000939</v>
      </c>
      <c r="I547" s="13" t="n">
        <v>0.0863056892224606</v>
      </c>
      <c r="J547" s="13" t="n">
        <v>0.0372362574390438</v>
      </c>
      <c r="K547" s="13" t="n">
        <v>-1.01504437265187</v>
      </c>
    </row>
    <row r="548" customFormat="false" ht="15" hidden="false" customHeight="false" outlineLevel="0" collapsed="false">
      <c r="A548" s="12" t="n">
        <v>2008</v>
      </c>
      <c r="B548" s="12" t="n">
        <v>7</v>
      </c>
      <c r="C548" s="13" t="n">
        <v>0.267354838709677</v>
      </c>
      <c r="D548" s="13" t="n">
        <v>1.06068544640854</v>
      </c>
      <c r="E548" s="13" t="n">
        <v>-0.793330607698867</v>
      </c>
      <c r="F548" s="13" t="n">
        <v>0.0182865427012182</v>
      </c>
      <c r="G548" s="13" t="n">
        <v>0.0620777629313009</v>
      </c>
      <c r="H548" s="13" t="n">
        <v>0.0286153565515772</v>
      </c>
      <c r="I548" s="13" t="n">
        <v>0.0791060051173278</v>
      </c>
      <c r="J548" s="13" t="n">
        <v>0.0489870631658645</v>
      </c>
      <c r="K548" s="13" t="n">
        <v>-1.03040333816616</v>
      </c>
    </row>
    <row r="549" customFormat="false" ht="15" hidden="false" customHeight="false" outlineLevel="0" collapsed="false">
      <c r="A549" s="12" t="n">
        <v>2008</v>
      </c>
      <c r="B549" s="12" t="n">
        <v>8</v>
      </c>
      <c r="C549" s="13" t="n">
        <v>0.383541935483871</v>
      </c>
      <c r="D549" s="13" t="n">
        <v>1.26081181337575</v>
      </c>
      <c r="E549" s="13" t="n">
        <v>-0.877269877891875</v>
      </c>
      <c r="F549" s="13" t="n">
        <v>-0.0735386172302838</v>
      </c>
      <c r="G549" s="13" t="n">
        <v>0.0803195674452494</v>
      </c>
      <c r="H549" s="13" t="n">
        <v>0.0348459032826719</v>
      </c>
      <c r="I549" s="13" t="n">
        <v>0.0641273869077849</v>
      </c>
      <c r="J549" s="13" t="n">
        <v>0.0616290264095712</v>
      </c>
      <c r="K549" s="13" t="n">
        <v>-1.04465314470687</v>
      </c>
    </row>
    <row r="550" customFormat="false" ht="15" hidden="false" customHeight="false" outlineLevel="0" collapsed="false">
      <c r="A550" s="12" t="n">
        <v>2008</v>
      </c>
      <c r="B550" s="12" t="n">
        <v>9</v>
      </c>
      <c r="C550" s="13" t="n">
        <v>0.888316666666667</v>
      </c>
      <c r="D550" s="13" t="n">
        <v>1.67867201088172</v>
      </c>
      <c r="E550" s="13" t="n">
        <v>-0.790355344215054</v>
      </c>
      <c r="F550" s="13" t="n">
        <v>0.0311394674120518</v>
      </c>
      <c r="G550" s="13" t="n">
        <v>0.0710867715019933</v>
      </c>
      <c r="H550" s="13" t="n">
        <v>0.0350812118584117</v>
      </c>
      <c r="I550" s="13" t="n">
        <v>0.0429702357802702</v>
      </c>
      <c r="J550" s="13" t="n">
        <v>0.0744233152874077</v>
      </c>
      <c r="K550" s="13" t="n">
        <v>-1.04505634605519</v>
      </c>
    </row>
    <row r="551" customFormat="false" ht="15" hidden="false" customHeight="false" outlineLevel="0" collapsed="false">
      <c r="A551" s="12" t="n">
        <v>2008</v>
      </c>
      <c r="B551" s="12" t="n">
        <v>10</v>
      </c>
      <c r="C551" s="13" t="n">
        <v>1.09413225806452</v>
      </c>
      <c r="D551" s="13" t="n">
        <v>2.01804164943403</v>
      </c>
      <c r="E551" s="13" t="n">
        <v>-0.923909391369517</v>
      </c>
      <c r="F551" s="13" t="n">
        <v>-0.0678328029144529</v>
      </c>
      <c r="G551" s="13" t="n">
        <v>0.0428116949914301</v>
      </c>
      <c r="H551" s="13" t="n">
        <v>0.0296965574286813</v>
      </c>
      <c r="I551" s="13" t="n">
        <v>0.0178412379439288</v>
      </c>
      <c r="J551" s="13" t="n">
        <v>0.0866771680993381</v>
      </c>
      <c r="K551" s="13" t="n">
        <v>-1.03310324691844</v>
      </c>
    </row>
    <row r="552" customFormat="false" ht="15" hidden="false" customHeight="false" outlineLevel="0" collapsed="false">
      <c r="A552" s="12" t="n">
        <v>2008</v>
      </c>
      <c r="B552" s="12" t="n">
        <v>11</v>
      </c>
      <c r="C552" s="13" t="n">
        <v>1.20875666666667</v>
      </c>
      <c r="D552" s="13" t="n">
        <v>2.08199038724945</v>
      </c>
      <c r="E552" s="13" t="n">
        <v>-0.873233720582785</v>
      </c>
      <c r="F552" s="13" t="n">
        <v>0.0421245658315559</v>
      </c>
      <c r="G552" s="13" t="n">
        <v>-0.000457407639087309</v>
      </c>
      <c r="H552" s="13" t="n">
        <v>0.0200220645489829</v>
      </c>
      <c r="I552" s="13" t="n">
        <v>-0.0086789762926723</v>
      </c>
      <c r="J552" s="13" t="n">
        <v>0.0977674801238791</v>
      </c>
      <c r="K552" s="13" t="n">
        <v>-1.02401144715544</v>
      </c>
    </row>
    <row r="553" customFormat="false" ht="15" hidden="false" customHeight="false" outlineLevel="0" collapsed="false">
      <c r="A553" s="12" t="n">
        <v>2008</v>
      </c>
      <c r="B553" s="12" t="n">
        <v>12</v>
      </c>
      <c r="C553" s="13" t="n">
        <v>0.990641935483871</v>
      </c>
      <c r="D553" s="13" t="n">
        <v>1.92155347102289</v>
      </c>
      <c r="E553" s="13" t="n">
        <v>-0.930911535539013</v>
      </c>
      <c r="F553" s="13" t="n">
        <v>0.0710936942680817</v>
      </c>
      <c r="G553" s="13" t="n">
        <v>-0.0531233935213518</v>
      </c>
      <c r="H553" s="13" t="n">
        <v>0.0079844465198702</v>
      </c>
      <c r="I553" s="13" t="n">
        <v>-0.0339042815161032</v>
      </c>
      <c r="J553" s="13" t="n">
        <v>0.107156267024631</v>
      </c>
      <c r="K553" s="13" t="n">
        <v>-1.03011826831414</v>
      </c>
    </row>
    <row r="554" customFormat="false" ht="15" hidden="false" customHeight="false" outlineLevel="0" collapsed="false">
      <c r="A554" s="12" t="n">
        <v>2009</v>
      </c>
      <c r="B554" s="12" t="n">
        <v>1</v>
      </c>
      <c r="C554" s="13" t="n">
        <v>0.828506451612903</v>
      </c>
      <c r="D554" s="13" t="n">
        <v>1.89026966289233</v>
      </c>
      <c r="E554" s="13" t="n">
        <v>-1.06176321127943</v>
      </c>
      <c r="F554" s="13" t="n">
        <v>0.0275989576295044</v>
      </c>
      <c r="G554" s="13" t="n">
        <v>-0.0976888251459329</v>
      </c>
      <c r="H554" s="13" t="n">
        <v>-0.00432578454826959</v>
      </c>
      <c r="I554" s="13" t="n">
        <v>-0.0553192965246602</v>
      </c>
      <c r="J554" s="13" t="n">
        <v>0.114398864139981</v>
      </c>
      <c r="K554" s="13" t="n">
        <v>-1.04642712683005</v>
      </c>
    </row>
    <row r="555" customFormat="false" ht="15" hidden="false" customHeight="false" outlineLevel="0" collapsed="false">
      <c r="A555" s="12" t="n">
        <v>2009</v>
      </c>
      <c r="B555" s="12" t="n">
        <v>2</v>
      </c>
      <c r="C555" s="13" t="n">
        <v>0.751939285714286</v>
      </c>
      <c r="D555" s="13" t="n">
        <v>2.042786936516</v>
      </c>
      <c r="E555" s="13" t="n">
        <v>-1.29084765080172</v>
      </c>
      <c r="F555" s="13" t="n">
        <v>-0.160605538510764</v>
      </c>
      <c r="G555" s="13" t="n">
        <v>-0.107566387381755</v>
      </c>
      <c r="H555" s="13" t="n">
        <v>-0.0150573619444721</v>
      </c>
      <c r="I555" s="13" t="n">
        <v>-0.0708345272733329</v>
      </c>
      <c r="J555" s="13" t="n">
        <v>0.119146455370057</v>
      </c>
      <c r="K555" s="13" t="n">
        <v>-1.05593029106145</v>
      </c>
    </row>
    <row r="556" customFormat="false" ht="15" hidden="false" customHeight="false" outlineLevel="0" collapsed="false">
      <c r="A556" s="12" t="n">
        <v>2009</v>
      </c>
      <c r="B556" s="12" t="n">
        <v>3</v>
      </c>
      <c r="C556" s="13" t="n">
        <v>1.16384193548387</v>
      </c>
      <c r="D556" s="13" t="n">
        <v>2.19484420687837</v>
      </c>
      <c r="E556" s="13" t="n">
        <v>-1.0310022713945</v>
      </c>
      <c r="F556" s="13" t="n">
        <v>0.0657981170493773</v>
      </c>
      <c r="G556" s="13" t="n">
        <v>-0.0658978609953138</v>
      </c>
      <c r="H556" s="13" t="n">
        <v>-0.0228869630819747</v>
      </c>
      <c r="I556" s="13" t="n">
        <v>-0.0789940304501853</v>
      </c>
      <c r="J556" s="13" t="n">
        <v>0.121144920250264</v>
      </c>
      <c r="K556" s="13" t="n">
        <v>-1.05016645416667</v>
      </c>
    </row>
    <row r="557" customFormat="false" ht="15" hidden="false" customHeight="false" outlineLevel="0" collapsed="false">
      <c r="A557" s="12" t="n">
        <v>2009</v>
      </c>
      <c r="B557" s="12" t="n">
        <v>4</v>
      </c>
      <c r="C557" s="13" t="n">
        <v>1.25111666666667</v>
      </c>
      <c r="D557" s="13" t="n">
        <v>2.27106243636453</v>
      </c>
      <c r="E557" s="13" t="n">
        <v>-1.01994576969786</v>
      </c>
      <c r="F557" s="13" t="n">
        <v>-0.00948530702552322</v>
      </c>
      <c r="G557" s="13" t="n">
        <v>0.0159953235852894</v>
      </c>
      <c r="H557" s="13" t="n">
        <v>-0.0271477686070811</v>
      </c>
      <c r="I557" s="13" t="n">
        <v>-0.0791145021605249</v>
      </c>
      <c r="J557" s="13" t="n">
        <v>0.120231944550017</v>
      </c>
      <c r="K557" s="13" t="n">
        <v>-1.04042546004004</v>
      </c>
    </row>
    <row r="558" customFormat="false" ht="15" hidden="false" customHeight="false" outlineLevel="0" collapsed="false">
      <c r="A558" s="12" t="n">
        <v>2009</v>
      </c>
      <c r="B558" s="12" t="n">
        <v>5</v>
      </c>
      <c r="C558" s="13" t="n">
        <v>1.12613870967742</v>
      </c>
      <c r="D558" s="13" t="n">
        <v>2.03227290192454</v>
      </c>
      <c r="E558" s="13" t="n">
        <v>-0.906134192247116</v>
      </c>
      <c r="F558" s="13" t="n">
        <v>0.0224260709314006</v>
      </c>
      <c r="G558" s="13" t="n">
        <v>0.0993330081713341</v>
      </c>
      <c r="H558" s="13" t="n">
        <v>-0.0277981852460792</v>
      </c>
      <c r="I558" s="13" t="n">
        <v>-0.0713421788182436</v>
      </c>
      <c r="J558" s="13" t="n">
        <v>0.116333860096725</v>
      </c>
      <c r="K558" s="13" t="n">
        <v>-1.04508676738225</v>
      </c>
    </row>
    <row r="559" customFormat="false" ht="15" hidden="false" customHeight="false" outlineLevel="0" collapsed="false">
      <c r="A559" s="12" t="n">
        <v>2009</v>
      </c>
      <c r="B559" s="12" t="n">
        <v>6</v>
      </c>
      <c r="C559" s="13" t="n">
        <v>0.64102</v>
      </c>
      <c r="D559" s="13" t="n">
        <v>1.46020395981324</v>
      </c>
      <c r="E559" s="13" t="n">
        <v>-0.819183959813236</v>
      </c>
      <c r="F559" s="13" t="n">
        <v>0.0815860125059043</v>
      </c>
      <c r="G559" s="13" t="n">
        <v>0.139777266413746</v>
      </c>
      <c r="H559" s="13" t="n">
        <v>-0.0252713532426683</v>
      </c>
      <c r="I559" s="13" t="n">
        <v>-0.0566227921702277</v>
      </c>
      <c r="J559" s="13" t="n">
        <v>0.109462950609149</v>
      </c>
      <c r="K559" s="13" t="n">
        <v>-1.06811604392914</v>
      </c>
    </row>
    <row r="560" customFormat="false" ht="15" hidden="false" customHeight="false" outlineLevel="0" collapsed="false">
      <c r="A560" s="12" t="n">
        <v>2009</v>
      </c>
      <c r="B560" s="12" t="n">
        <v>7</v>
      </c>
      <c r="C560" s="13" t="n">
        <v>0.0888935483870968</v>
      </c>
      <c r="D560" s="13" t="n">
        <v>1.13066961855235</v>
      </c>
      <c r="E560" s="13" t="n">
        <v>-1.04177607016526</v>
      </c>
      <c r="F560" s="13" t="n">
        <v>-0.10431700226751</v>
      </c>
      <c r="G560" s="13" t="n">
        <v>0.114178844889003</v>
      </c>
      <c r="H560" s="13" t="n">
        <v>-0.0202700518910672</v>
      </c>
      <c r="I560" s="13" t="n">
        <v>-0.0365890814173221</v>
      </c>
      <c r="J560" s="13" t="n">
        <v>0.0997152794220605</v>
      </c>
      <c r="K560" s="13" t="n">
        <v>-1.09449405890042</v>
      </c>
    </row>
    <row r="561" customFormat="false" ht="15" hidden="false" customHeight="false" outlineLevel="0" collapsed="false">
      <c r="A561" s="12" t="n">
        <v>2009</v>
      </c>
      <c r="B561" s="12" t="n">
        <v>8</v>
      </c>
      <c r="C561" s="13" t="n">
        <v>0.2941</v>
      </c>
      <c r="D561" s="13" t="n">
        <v>1.32792035285713</v>
      </c>
      <c r="E561" s="13" t="n">
        <v>-1.03382035285713</v>
      </c>
      <c r="F561" s="13" t="n">
        <v>-0.0201635594866445</v>
      </c>
      <c r="G561" s="13" t="n">
        <v>0.0333697008326568</v>
      </c>
      <c r="H561" s="13" t="n">
        <v>-0.0135742137643175</v>
      </c>
      <c r="I561" s="13" t="n">
        <v>-0.0133790304456692</v>
      </c>
      <c r="J561" s="13" t="n">
        <v>0.0872686750375766</v>
      </c>
      <c r="K561" s="13" t="n">
        <v>-1.10734192503073</v>
      </c>
    </row>
    <row r="562" customFormat="false" ht="15" hidden="false" customHeight="false" outlineLevel="0" collapsed="false">
      <c r="A562" s="12" t="n">
        <v>2009</v>
      </c>
      <c r="B562" s="12" t="n">
        <v>9</v>
      </c>
      <c r="C562" s="13" t="n">
        <v>0.68658</v>
      </c>
      <c r="D562" s="13" t="n">
        <v>1.74302401107183</v>
      </c>
      <c r="E562" s="13" t="n">
        <v>-1.05644401107183</v>
      </c>
      <c r="F562" s="13" t="n">
        <v>0.036950272522915</v>
      </c>
      <c r="G562" s="13" t="n">
        <v>-0.0648502932461817</v>
      </c>
      <c r="H562" s="13" t="n">
        <v>-0.00591104532673784</v>
      </c>
      <c r="I562" s="13" t="n">
        <v>0.010594860951358</v>
      </c>
      <c r="J562" s="13" t="n">
        <v>0.0723803642558842</v>
      </c>
      <c r="K562" s="13" t="n">
        <v>-1.10560817022906</v>
      </c>
    </row>
    <row r="563" customFormat="false" ht="15" hidden="false" customHeight="false" outlineLevel="0" collapsed="false">
      <c r="A563" s="12" t="n">
        <v>2009</v>
      </c>
      <c r="B563" s="12" t="n">
        <v>10</v>
      </c>
      <c r="C563" s="13" t="n">
        <v>0.99288064516129</v>
      </c>
      <c r="D563" s="13" t="n">
        <v>2.07975957216289</v>
      </c>
      <c r="E563" s="13" t="n">
        <v>-1.0868789270016</v>
      </c>
      <c r="F563" s="13" t="n">
        <v>0.0597927715768064</v>
      </c>
      <c r="G563" s="13" t="n">
        <v>-0.134755147806143</v>
      </c>
      <c r="H563" s="13" t="n">
        <v>0.00209196279265818</v>
      </c>
      <c r="I563" s="13" t="n">
        <v>0.0329000993270591</v>
      </c>
      <c r="J563" s="13" t="n">
        <v>0.0553837337661414</v>
      </c>
      <c r="K563" s="13" t="n">
        <v>-1.10229234665812</v>
      </c>
    </row>
    <row r="564" customFormat="false" ht="15" hidden="false" customHeight="false" outlineLevel="0" collapsed="false">
      <c r="A564" s="12" t="n">
        <v>2009</v>
      </c>
      <c r="B564" s="12" t="n">
        <v>11</v>
      </c>
      <c r="C564" s="13" t="n">
        <v>0.919163333333333</v>
      </c>
      <c r="D564" s="13" t="n">
        <v>2.14119941727851</v>
      </c>
      <c r="E564" s="13" t="n">
        <v>-1.22203608394517</v>
      </c>
      <c r="F564" s="13" t="n">
        <v>-0.0685170039927952</v>
      </c>
      <c r="G564" s="13" t="n">
        <v>-0.142796025062875</v>
      </c>
      <c r="H564" s="13" t="n">
        <v>0.00988268414609787</v>
      </c>
      <c r="I564" s="13" t="n">
        <v>0.0513352511904137</v>
      </c>
      <c r="J564" s="13" t="n">
        <v>0.0366836878446541</v>
      </c>
      <c r="K564" s="13" t="n">
        <v>-1.10862467807067</v>
      </c>
    </row>
    <row r="565" customFormat="false" ht="15" hidden="false" customHeight="false" outlineLevel="0" collapsed="false">
      <c r="A565" s="12" t="n">
        <v>2009</v>
      </c>
      <c r="B565" s="12" t="n">
        <v>12</v>
      </c>
      <c r="C565" s="13" t="n">
        <v>0.90358064516129</v>
      </c>
      <c r="D565" s="13" t="n">
        <v>1.97838086635418</v>
      </c>
      <c r="E565" s="13" t="n">
        <v>-1.07480022119289</v>
      </c>
      <c r="F565" s="13" t="n">
        <v>0.0341947093458572</v>
      </c>
      <c r="G565" s="13" t="n">
        <v>-0.0822684941118481</v>
      </c>
      <c r="H565" s="13" t="n">
        <v>0.0169240954300885</v>
      </c>
      <c r="I565" s="13" t="n">
        <v>0.0641511388565945</v>
      </c>
      <c r="J565" s="13" t="n">
        <v>0.0167500031465886</v>
      </c>
      <c r="K565" s="13" t="n">
        <v>-1.12455167386017</v>
      </c>
    </row>
    <row r="566" customFormat="false" ht="15" hidden="false" customHeight="false" outlineLevel="0" collapsed="false">
      <c r="A566" s="12" t="n">
        <v>2010</v>
      </c>
      <c r="B566" s="12" t="n">
        <v>1</v>
      </c>
      <c r="C566" s="13" t="n">
        <v>0.824790322580645</v>
      </c>
      <c r="D566" s="13" t="n">
        <v>1.94484410315327</v>
      </c>
      <c r="E566" s="13" t="n">
        <v>-1.12005378057263</v>
      </c>
      <c r="F566" s="13" t="n">
        <v>-0.0873066212458874</v>
      </c>
      <c r="G566" s="13" t="n">
        <v>0.0210078907404791</v>
      </c>
      <c r="H566" s="13" t="n">
        <v>0.0226427466239712</v>
      </c>
      <c r="I566" s="13" t="n">
        <v>0.0702194874618721</v>
      </c>
      <c r="J566" s="13" t="n">
        <v>-0.00389201213078712</v>
      </c>
      <c r="K566" s="13" t="n">
        <v>-1.14272527202227</v>
      </c>
    </row>
    <row r="567" customFormat="false" ht="15" hidden="false" customHeight="false" outlineLevel="0" collapsed="false">
      <c r="A567" s="12" t="n">
        <v>2010</v>
      </c>
      <c r="B567" s="12" t="n">
        <v>2</v>
      </c>
      <c r="C567" s="13" t="n">
        <v>1.24087857142857</v>
      </c>
      <c r="D567" s="13" t="n">
        <v>2.09523787168308</v>
      </c>
      <c r="E567" s="13" t="n">
        <v>-0.854359300254504</v>
      </c>
      <c r="F567" s="13" t="n">
        <v>0.114211148518728</v>
      </c>
      <c r="G567" s="13" t="n">
        <v>0.116345082017172</v>
      </c>
      <c r="H567" s="13" t="n">
        <v>0.0264235124463166</v>
      </c>
      <c r="I567" s="13" t="n">
        <v>0.069132409942462</v>
      </c>
      <c r="J567" s="13" t="n">
        <v>-0.0246743097923603</v>
      </c>
      <c r="K567" s="13" t="n">
        <v>-1.15579714338682</v>
      </c>
    </row>
    <row r="568" customFormat="false" ht="15" hidden="false" customHeight="false" outlineLevel="0" collapsed="false">
      <c r="A568" s="12" t="n">
        <v>2010</v>
      </c>
      <c r="B568" s="12" t="n">
        <v>3</v>
      </c>
      <c r="C568" s="13" t="n">
        <v>1.21362258064516</v>
      </c>
      <c r="D568" s="13" t="n">
        <v>2.24530120859715</v>
      </c>
      <c r="E568" s="13" t="n">
        <v>-1.03167862795199</v>
      </c>
      <c r="F568" s="13" t="n">
        <v>-0.0678078201600514</v>
      </c>
      <c r="G568" s="13" t="n">
        <v>0.151352530992167</v>
      </c>
      <c r="H568" s="13" t="n">
        <v>0.0276683534455906</v>
      </c>
      <c r="I568" s="13" t="n">
        <v>0.0612238741883403</v>
      </c>
      <c r="J568" s="13" t="n">
        <v>-0.0450030298910375</v>
      </c>
      <c r="K568" s="13" t="n">
        <v>-1.159112536527</v>
      </c>
    </row>
    <row r="569" customFormat="false" ht="15" hidden="false" customHeight="false" outlineLevel="0" collapsed="false">
      <c r="A569" s="12" t="n">
        <v>2010</v>
      </c>
      <c r="B569" s="12" t="n">
        <v>4</v>
      </c>
      <c r="C569" s="13" t="n">
        <v>1.30735</v>
      </c>
      <c r="D569" s="13" t="n">
        <v>2.31965455410494</v>
      </c>
      <c r="E569" s="13" t="n">
        <v>-1.01230455410494</v>
      </c>
      <c r="F569" s="13" t="n">
        <v>0.0276284467315523</v>
      </c>
      <c r="G569" s="13" t="n">
        <v>0.102843872983553</v>
      </c>
      <c r="H569" s="13" t="n">
        <v>0.0259115043869514</v>
      </c>
      <c r="I569" s="13" t="n">
        <v>0.0475128584945415</v>
      </c>
      <c r="J569" s="13" t="n">
        <v>-0.0642799200381824</v>
      </c>
      <c r="K569" s="13" t="n">
        <v>-1.15192131666336</v>
      </c>
    </row>
    <row r="570" customFormat="false" ht="15" hidden="false" customHeight="false" outlineLevel="0" collapsed="false">
      <c r="A570" s="12" t="n">
        <v>2010</v>
      </c>
      <c r="B570" s="12" t="n">
        <v>5</v>
      </c>
      <c r="C570" s="13" t="n">
        <v>0.919909677419355</v>
      </c>
      <c r="D570" s="13" t="n">
        <v>2.07912802619219</v>
      </c>
      <c r="E570" s="13" t="n">
        <v>-1.15921834877283</v>
      </c>
      <c r="F570" s="13" t="n">
        <v>0.0153613936047749</v>
      </c>
      <c r="G570" s="13" t="n">
        <v>-0.0035881415814353</v>
      </c>
      <c r="H570" s="13" t="n">
        <v>0.0209610794473989</v>
      </c>
      <c r="I570" s="13" t="n">
        <v>0.0295763171033103</v>
      </c>
      <c r="J570" s="13" t="n">
        <v>-0.0819279387008265</v>
      </c>
      <c r="K570" s="13" t="n">
        <v>-1.13960105864606</v>
      </c>
    </row>
    <row r="571" customFormat="false" ht="15" hidden="false" customHeight="false" outlineLevel="0" collapsed="false">
      <c r="A571" s="12" t="n">
        <v>2010</v>
      </c>
      <c r="B571" s="12" t="n">
        <v>6</v>
      </c>
      <c r="C571" s="13" t="n">
        <v>0.185303333333333</v>
      </c>
      <c r="D571" s="13" t="n">
        <v>1.50544819461984</v>
      </c>
      <c r="E571" s="13" t="n">
        <v>-1.3201448612865</v>
      </c>
      <c r="F571" s="13" t="n">
        <v>-0.00953617644399201</v>
      </c>
      <c r="G571" s="13" t="n">
        <v>-0.10370436156898</v>
      </c>
      <c r="H571" s="13" t="n">
        <v>0.0130243730748542</v>
      </c>
      <c r="I571" s="13" t="n">
        <v>0.00936742715256006</v>
      </c>
      <c r="J571" s="13" t="n">
        <v>-0.0974198360146262</v>
      </c>
      <c r="K571" s="13" t="n">
        <v>-1.13187628748632</v>
      </c>
    </row>
    <row r="572" customFormat="false" ht="15" hidden="false" customHeight="false" outlineLevel="0" collapsed="false">
      <c r="A572" s="12" t="n">
        <v>2010</v>
      </c>
      <c r="B572" s="12" t="n">
        <v>7</v>
      </c>
      <c r="C572" s="13" t="n">
        <v>-0.234316129032258</v>
      </c>
      <c r="D572" s="13" t="n">
        <v>1.1744266652883</v>
      </c>
      <c r="E572" s="13" t="n">
        <v>-1.40874279432056</v>
      </c>
      <c r="F572" s="13" t="n">
        <v>-0.0212691423555841</v>
      </c>
      <c r="G572" s="13" t="n">
        <v>-0.134345623738843</v>
      </c>
      <c r="H572" s="13" t="n">
        <v>0.00277453839911368</v>
      </c>
      <c r="I572" s="13" t="n">
        <v>-0.0109999152034366</v>
      </c>
      <c r="J572" s="13" t="n">
        <v>-0.110307606041507</v>
      </c>
      <c r="K572" s="13" t="n">
        <v>-1.1345950453803</v>
      </c>
    </row>
    <row r="573" customFormat="false" ht="15" hidden="false" customHeight="false" outlineLevel="0" collapsed="false">
      <c r="A573" s="12" t="n">
        <v>2010</v>
      </c>
      <c r="B573" s="12" t="n">
        <v>8</v>
      </c>
      <c r="C573" s="13" t="n">
        <v>0.0427709677419355</v>
      </c>
      <c r="D573" s="13" t="n">
        <v>1.37031090771937</v>
      </c>
      <c r="E573" s="13" t="n">
        <v>-1.32753993997743</v>
      </c>
      <c r="F573" s="13" t="n">
        <v>0.0519949730257535</v>
      </c>
      <c r="G573" s="13" t="n">
        <v>-0.0778277616157671</v>
      </c>
      <c r="H573" s="13" t="n">
        <v>-0.00867083698662195</v>
      </c>
      <c r="I573" s="13" t="n">
        <v>-0.0294763060433038</v>
      </c>
      <c r="J573" s="13" t="n">
        <v>-0.120250078635819</v>
      </c>
      <c r="K573" s="13" t="n">
        <v>-1.14330992972167</v>
      </c>
    </row>
    <row r="574" customFormat="false" ht="15" hidden="false" customHeight="false" outlineLevel="0" collapsed="false">
      <c r="A574" s="12" t="n">
        <v>2010</v>
      </c>
      <c r="B574" s="12" t="n">
        <v>9</v>
      </c>
      <c r="C574" s="13" t="n">
        <v>0.302736666666667</v>
      </c>
      <c r="D574" s="13" t="n">
        <v>1.78416517809072</v>
      </c>
      <c r="E574" s="13" t="n">
        <v>-1.48142851142405</v>
      </c>
      <c r="F574" s="13" t="n">
        <v>-0.165510911689726</v>
      </c>
      <c r="G574" s="13" t="n">
        <v>0.0231680056333319</v>
      </c>
      <c r="H574" s="13" t="n">
        <v>-0.01986757981755</v>
      </c>
      <c r="I574" s="13" t="n">
        <v>-0.0442873417847476</v>
      </c>
      <c r="J574" s="13" t="n">
        <v>-0.127035759088768</v>
      </c>
      <c r="K574" s="13" t="n">
        <v>-1.14789492467659</v>
      </c>
    </row>
    <row r="575" customFormat="false" ht="15" hidden="false" customHeight="false" outlineLevel="0" collapsed="false">
      <c r="A575" s="12" t="n">
        <v>2010</v>
      </c>
      <c r="B575" s="12" t="n">
        <v>10</v>
      </c>
      <c r="C575" s="13" t="n">
        <v>0.979125806451613</v>
      </c>
      <c r="D575" s="13" t="n">
        <v>2.11976429385617</v>
      </c>
      <c r="E575" s="13" t="n">
        <v>-1.14063848740455</v>
      </c>
      <c r="F575" s="13" t="n">
        <v>0.121316324065199</v>
      </c>
      <c r="G575" s="13" t="n">
        <v>0.0955050109664717</v>
      </c>
      <c r="H575" s="13" t="n">
        <v>-0.0292440678790696</v>
      </c>
      <c r="I575" s="13" t="n">
        <v>-0.0541073351578739</v>
      </c>
      <c r="J575" s="13" t="n">
        <v>-0.13059836759803</v>
      </c>
      <c r="K575" s="13" t="n">
        <v>-1.14351005180125</v>
      </c>
    </row>
    <row r="576" customFormat="false" ht="15" hidden="false" customHeight="false" outlineLevel="0" collapsed="false">
      <c r="A576" s="12" t="n">
        <v>2010</v>
      </c>
      <c r="B576" s="12" t="n">
        <v>11</v>
      </c>
      <c r="C576" s="13" t="n">
        <v>1.01334666666667</v>
      </c>
      <c r="D576" s="13" t="n">
        <v>2.18017592490754</v>
      </c>
      <c r="E576" s="13" t="n">
        <v>-1.16682925824087</v>
      </c>
      <c r="F576" s="13" t="n">
        <v>0.101170266086335</v>
      </c>
      <c r="G576" s="13" t="n">
        <v>0.0901924088766056</v>
      </c>
      <c r="H576" s="13" t="n">
        <v>-0.0353468469700025</v>
      </c>
      <c r="I576" s="13" t="n">
        <v>-0.0581788394291897</v>
      </c>
      <c r="J576" s="13" t="n">
        <v>-0.131023257633019</v>
      </c>
      <c r="K576" s="13" t="n">
        <v>-1.1336429891716</v>
      </c>
    </row>
    <row r="577" customFormat="false" ht="15" hidden="false" customHeight="false" outlineLevel="0" collapsed="false">
      <c r="A577" s="12" t="n">
        <v>2010</v>
      </c>
      <c r="B577" s="12" t="n">
        <v>12</v>
      </c>
      <c r="C577" s="13" t="n">
        <v>0.632345161290323</v>
      </c>
      <c r="D577" s="13" t="n">
        <v>2.01643215164784</v>
      </c>
      <c r="E577" s="13" t="n">
        <v>-1.38408699035751</v>
      </c>
      <c r="F577" s="13" t="n">
        <v>-0.0582706592826694</v>
      </c>
      <c r="G577" s="13" t="n">
        <v>0.019069392932061</v>
      </c>
      <c r="H577" s="13" t="n">
        <v>-0.0370866145950314</v>
      </c>
      <c r="I577" s="13" t="n">
        <v>-0.0563670585417008</v>
      </c>
      <c r="J577" s="13" t="n">
        <v>-0.128543781631984</v>
      </c>
      <c r="K577" s="13" t="n">
        <v>-1.12288826923819</v>
      </c>
    </row>
    <row r="578" customFormat="false" ht="15" hidden="false" customHeight="false" outlineLevel="0" collapsed="false">
      <c r="A578" s="12" t="n">
        <v>2011</v>
      </c>
      <c r="B578" s="12" t="n">
        <v>1</v>
      </c>
      <c r="C578" s="13" t="n">
        <v>0.516167741935484</v>
      </c>
      <c r="D578" s="13" t="n">
        <v>1.98206741333688</v>
      </c>
      <c r="E578" s="13" t="n">
        <v>-1.4658996714014</v>
      </c>
      <c r="F578" s="13" t="n">
        <v>-0.0899243086310804</v>
      </c>
      <c r="G578" s="13" t="n">
        <v>-0.0566894940673903</v>
      </c>
      <c r="H578" s="13" t="n">
        <v>-0.0339376441234114</v>
      </c>
      <c r="I578" s="13" t="n">
        <v>-0.0491457173357456</v>
      </c>
      <c r="J578" s="13" t="n">
        <v>-0.123527510976751</v>
      </c>
      <c r="K578" s="13" t="n">
        <v>-1.11267499626702</v>
      </c>
    </row>
    <row r="579" customFormat="false" ht="15" hidden="false" customHeight="false" outlineLevel="0" collapsed="false">
      <c r="A579" s="12" t="n">
        <v>2011</v>
      </c>
      <c r="B579" s="12" t="n">
        <v>2</v>
      </c>
      <c r="C579" s="13" t="n">
        <v>0.777042857142857</v>
      </c>
      <c r="D579" s="13" t="n">
        <v>2.13172422954737</v>
      </c>
      <c r="E579" s="13" t="n">
        <v>-1.35468137240451</v>
      </c>
      <c r="F579" s="13" t="n">
        <v>0.00780336001039956</v>
      </c>
      <c r="G579" s="13" t="n">
        <v>-0.0771293385658515</v>
      </c>
      <c r="H579" s="13" t="n">
        <v>-0.0260528978199698</v>
      </c>
      <c r="I579" s="13" t="n">
        <v>-0.0375186152422576</v>
      </c>
      <c r="J579" s="13" t="n">
        <v>-0.116452930768113</v>
      </c>
      <c r="K579" s="13" t="n">
        <v>-1.10533095001872</v>
      </c>
    </row>
    <row r="580" customFormat="false" ht="15" hidden="false" customHeight="false" outlineLevel="0" collapsed="false">
      <c r="A580" s="12" t="n">
        <v>2011</v>
      </c>
      <c r="B580" s="12" t="n">
        <v>3</v>
      </c>
      <c r="C580" s="13" t="n">
        <v>1.05941290322581</v>
      </c>
      <c r="D580" s="13" t="n">
        <v>2.28113495925993</v>
      </c>
      <c r="E580" s="13" t="n">
        <v>-1.22172205603412</v>
      </c>
      <c r="F580" s="13" t="n">
        <v>0.0600711141790155</v>
      </c>
      <c r="G580" s="13" t="n">
        <v>-0.0311356686231842</v>
      </c>
      <c r="H580" s="13" t="n">
        <v>-0.0142735367205026</v>
      </c>
      <c r="I580" s="13" t="n">
        <v>-0.022888025052792</v>
      </c>
      <c r="J580" s="13" t="n">
        <v>-0.107877917146857</v>
      </c>
      <c r="K580" s="13" t="n">
        <v>-1.1056180226698</v>
      </c>
    </row>
    <row r="581" customFormat="false" ht="15" hidden="false" customHeight="false" outlineLevel="0" collapsed="false">
      <c r="A581" s="12" t="n">
        <v>2011</v>
      </c>
      <c r="B581" s="12" t="n">
        <v>4</v>
      </c>
      <c r="C581" s="13" t="n">
        <v>1.11407666666667</v>
      </c>
      <c r="D581" s="13" t="n">
        <v>2.35491294002743</v>
      </c>
      <c r="E581" s="13" t="n">
        <v>-1.24083627336076</v>
      </c>
      <c r="F581" s="13" t="n">
        <v>-0.0590919174963302</v>
      </c>
      <c r="G581" s="13" t="n">
        <v>0.0378857727880084</v>
      </c>
      <c r="H581" s="13" t="n">
        <v>-3.12023124018647E-005</v>
      </c>
      <c r="I581" s="13" t="n">
        <v>-0.0068865629060452</v>
      </c>
      <c r="J581" s="13" t="n">
        <v>-0.0984020690075702</v>
      </c>
      <c r="K581" s="13" t="n">
        <v>-1.11431029442642</v>
      </c>
    </row>
    <row r="582" customFormat="false" ht="15" hidden="false" customHeight="false" outlineLevel="0" collapsed="false">
      <c r="A582" s="12" t="n">
        <v>2011</v>
      </c>
      <c r="B582" s="12" t="n">
        <v>5</v>
      </c>
      <c r="C582" s="13" t="n">
        <v>1.07120967741936</v>
      </c>
      <c r="D582" s="13" t="n">
        <v>2.11388079193008</v>
      </c>
      <c r="E582" s="13" t="n">
        <v>-1.04267111451073</v>
      </c>
      <c r="F582" s="13" t="n">
        <v>0.075227900221569</v>
      </c>
      <c r="G582" s="13" t="n">
        <v>0.0710057654222188</v>
      </c>
      <c r="H582" s="13" t="n">
        <v>0.0148400834194616</v>
      </c>
      <c r="I582" s="13" t="n">
        <v>0.00880743003587431</v>
      </c>
      <c r="J582" s="13" t="n">
        <v>-0.0886257260077873</v>
      </c>
      <c r="K582" s="13" t="n">
        <v>-1.12392656760207</v>
      </c>
    </row>
    <row r="583" customFormat="false" ht="15" hidden="false" customHeight="false" outlineLevel="0" collapsed="false">
      <c r="A583" s="12" t="n">
        <v>2011</v>
      </c>
      <c r="B583" s="12" t="n">
        <v>6</v>
      </c>
      <c r="C583" s="13" t="n">
        <v>0.44817</v>
      </c>
      <c r="D583" s="13" t="n">
        <v>1.53975722266946</v>
      </c>
      <c r="E583" s="13" t="n">
        <v>-1.09158722266946</v>
      </c>
      <c r="F583" s="13" t="n">
        <v>0.0183724094057006</v>
      </c>
      <c r="G583" s="13" t="n">
        <v>0.0428663636669799</v>
      </c>
      <c r="H583" s="13" t="n">
        <v>0.0283518895389843</v>
      </c>
      <c r="I583" s="13" t="n">
        <v>0.0226499175456416</v>
      </c>
      <c r="J583" s="13" t="n">
        <v>-0.0791090355602101</v>
      </c>
      <c r="K583" s="13" t="n">
        <v>-1.12471876726656</v>
      </c>
    </row>
    <row r="584" customFormat="false" ht="15" hidden="false" customHeight="false" outlineLevel="0" collapsed="false">
      <c r="A584" s="12" t="n">
        <v>2011</v>
      </c>
      <c r="B584" s="12" t="n">
        <v>7</v>
      </c>
      <c r="C584" s="13" t="n">
        <v>-0.0035741935483871</v>
      </c>
      <c r="D584" s="13" t="n">
        <v>1.20834564429716</v>
      </c>
      <c r="E584" s="13" t="n">
        <v>-1.21191983784554</v>
      </c>
      <c r="F584" s="13" t="n">
        <v>-0.0785995935246207</v>
      </c>
      <c r="G584" s="13" t="n">
        <v>-0.0200322256532106</v>
      </c>
      <c r="H584" s="13" t="n">
        <v>0.0386318146116518</v>
      </c>
      <c r="I584" s="13" t="n">
        <v>0.0333869216753799</v>
      </c>
      <c r="J584" s="13" t="n">
        <v>-0.0703345502532199</v>
      </c>
      <c r="K584" s="13" t="n">
        <v>-1.11497220470152</v>
      </c>
    </row>
    <row r="585" customFormat="false" ht="15" hidden="false" customHeight="false" outlineLevel="0" collapsed="false">
      <c r="A585" s="12" t="n">
        <v>2011</v>
      </c>
      <c r="B585" s="12" t="n">
        <v>8</v>
      </c>
      <c r="C585" s="13" t="n">
        <v>0.242335483870968</v>
      </c>
      <c r="D585" s="13" t="n">
        <v>1.40388503421729</v>
      </c>
      <c r="E585" s="13" t="n">
        <v>-1.16154955034633</v>
      </c>
      <c r="F585" s="13" t="n">
        <v>-0.014761204282084</v>
      </c>
      <c r="G585" s="13" t="n">
        <v>-0.0645410953494894</v>
      </c>
      <c r="H585" s="13" t="n">
        <v>0.0441788872642405</v>
      </c>
      <c r="I585" s="13" t="n">
        <v>0.040169889866456</v>
      </c>
      <c r="J585" s="13" t="n">
        <v>-0.0626765107954764</v>
      </c>
      <c r="K585" s="13" t="n">
        <v>-1.10391951704997</v>
      </c>
    </row>
    <row r="586" customFormat="false" ht="15" hidden="false" customHeight="false" outlineLevel="0" collapsed="false">
      <c r="A586" s="12" t="n">
        <v>2011</v>
      </c>
      <c r="B586" s="12" t="n">
        <v>9</v>
      </c>
      <c r="C586" s="13" t="n">
        <v>0.75492</v>
      </c>
      <c r="D586" s="13" t="n">
        <v>1.81743089279102</v>
      </c>
      <c r="E586" s="13" t="n">
        <v>-1.06251089279102</v>
      </c>
      <c r="F586" s="13" t="n">
        <v>0.0655480935938108</v>
      </c>
      <c r="G586" s="13" t="n">
        <v>-0.0556573850647305</v>
      </c>
      <c r="H586" s="13" t="n">
        <v>0.0440715819525071</v>
      </c>
      <c r="I586" s="13" t="n">
        <v>0.0426198530678863</v>
      </c>
      <c r="J586" s="13" t="n">
        <v>-0.0563793047551612</v>
      </c>
      <c r="K586" s="13" t="n">
        <v>-1.10271373158533</v>
      </c>
    </row>
    <row r="587" customFormat="false" ht="15" hidden="false" customHeight="false" outlineLevel="0" collapsed="false">
      <c r="A587" s="12" t="n">
        <v>2011</v>
      </c>
      <c r="B587" s="12" t="n">
        <v>10</v>
      </c>
      <c r="C587" s="13" t="n">
        <v>1.05793870967742</v>
      </c>
      <c r="D587" s="13" t="n">
        <v>2.1527490534514</v>
      </c>
      <c r="E587" s="13" t="n">
        <v>-1.09481034377398</v>
      </c>
      <c r="F587" s="13" t="n">
        <v>-0.00672621849555628</v>
      </c>
      <c r="G587" s="13" t="n">
        <v>-0.00316794698116695</v>
      </c>
      <c r="H587" s="13" t="n">
        <v>0.0381042555720008</v>
      </c>
      <c r="I587" s="13" t="n">
        <v>0.0408358795909813</v>
      </c>
      <c r="J587" s="13" t="n">
        <v>-0.051546755362376</v>
      </c>
      <c r="K587" s="13" t="n">
        <v>-1.11230955809786</v>
      </c>
    </row>
    <row r="588" customFormat="false" ht="15" hidden="false" customHeight="false" outlineLevel="0" collapsed="false">
      <c r="A588" s="12" t="n">
        <v>2011</v>
      </c>
      <c r="B588" s="12" t="n">
        <v>11</v>
      </c>
      <c r="C588" s="13" t="n">
        <v>1.07140333333333</v>
      </c>
      <c r="D588" s="13" t="n">
        <v>2.21289801017474</v>
      </c>
      <c r="E588" s="13" t="n">
        <v>-1.14149467684141</v>
      </c>
      <c r="F588" s="13" t="n">
        <v>-0.0824716172812751</v>
      </c>
      <c r="G588" s="13" t="n">
        <v>0.0494419851426365</v>
      </c>
      <c r="H588" s="13" t="n">
        <v>0.0268369060149319</v>
      </c>
      <c r="I588" s="13" t="n">
        <v>0.0353499268238328</v>
      </c>
      <c r="J588" s="13" t="n">
        <v>-0.0481430042460559</v>
      </c>
      <c r="K588" s="13" t="n">
        <v>-1.12250887329548</v>
      </c>
    </row>
    <row r="589" customFormat="false" ht="15" hidden="false" customHeight="false" outlineLevel="0" collapsed="false">
      <c r="A589" s="12" t="n">
        <v>2011</v>
      </c>
      <c r="B589" s="12" t="n">
        <v>12</v>
      </c>
      <c r="C589" s="13" t="n">
        <v>1.04304838709677</v>
      </c>
      <c r="D589" s="13" t="n">
        <v>2.04890051255162</v>
      </c>
      <c r="E589" s="13" t="n">
        <v>-1.00585212545485</v>
      </c>
      <c r="F589" s="13" t="n">
        <v>0.0630284436354849</v>
      </c>
      <c r="G589" s="13" t="n">
        <v>0.0614520173366284</v>
      </c>
      <c r="H589" s="13" t="n">
        <v>0.0115519968124686</v>
      </c>
      <c r="I589" s="13" t="n">
        <v>0.0270362795043832</v>
      </c>
      <c r="J589" s="13" t="n">
        <v>-0.0460048355507721</v>
      </c>
      <c r="K589" s="13" t="n">
        <v>-1.12291602719304</v>
      </c>
    </row>
    <row r="590" customFormat="false" ht="15" hidden="false" customHeight="false" outlineLevel="0" collapsed="false">
      <c r="A590" s="12" t="n">
        <v>2012</v>
      </c>
      <c r="B590" s="12" t="n">
        <v>1</v>
      </c>
      <c r="C590" s="13" t="n">
        <v>1.01240967741936</v>
      </c>
      <c r="D590" s="13" t="n">
        <v>2.01428155169992</v>
      </c>
      <c r="E590" s="13" t="n">
        <v>-1.00187187428056</v>
      </c>
      <c r="F590" s="13" t="n">
        <v>0.11753610552807</v>
      </c>
      <c r="G590" s="13" t="n">
        <v>0.0258390568178739</v>
      </c>
      <c r="H590" s="13" t="n">
        <v>-0.00587953195919423</v>
      </c>
      <c r="I590" s="13" t="n">
        <v>0.0169886405835138</v>
      </c>
      <c r="J590" s="13" t="n">
        <v>-0.0448643583077397</v>
      </c>
      <c r="K590" s="13" t="n">
        <v>-1.11149178694309</v>
      </c>
    </row>
    <row r="591" customFormat="false" ht="15" hidden="false" customHeight="false" outlineLevel="0" collapsed="false">
      <c r="A591" s="12" t="n">
        <v>2012</v>
      </c>
      <c r="B591" s="12" t="n">
        <v>2</v>
      </c>
      <c r="C591" s="13" t="n">
        <v>0.793996551724138</v>
      </c>
      <c r="D591" s="13" t="n">
        <v>2.16367411972526</v>
      </c>
      <c r="E591" s="13" t="n">
        <v>-1.36967756800113</v>
      </c>
      <c r="F591" s="13" t="n">
        <v>-0.186773756698289</v>
      </c>
      <c r="G591" s="13" t="n">
        <v>-0.028371154835514</v>
      </c>
      <c r="H591" s="13" t="n">
        <v>-0.0232126143744674</v>
      </c>
      <c r="I591" s="13" t="n">
        <v>0.00638107350841021</v>
      </c>
      <c r="J591" s="13" t="n">
        <v>-0.0443800686863482</v>
      </c>
      <c r="K591" s="13" t="n">
        <v>-1.09332104691492</v>
      </c>
    </row>
    <row r="592" customFormat="false" ht="15" hidden="false" customHeight="false" outlineLevel="0" collapsed="false">
      <c r="A592" s="12" t="n">
        <v>2012</v>
      </c>
      <c r="B592" s="12" t="n">
        <v>3</v>
      </c>
      <c r="C592" s="13" t="n">
        <v>1.13199677419355</v>
      </c>
      <c r="D592" s="13" t="n">
        <v>2.31280100713865</v>
      </c>
      <c r="E592" s="13" t="n">
        <v>-1.1808042329451</v>
      </c>
      <c r="F592" s="13" t="n">
        <v>0.0421594176474572</v>
      </c>
      <c r="G592" s="13" t="n">
        <v>-0.0607042791211933</v>
      </c>
      <c r="H592" s="13" t="n">
        <v>-0.0381035761599888</v>
      </c>
      <c r="I592" s="13" t="n">
        <v>-0.0036699292035068</v>
      </c>
      <c r="J592" s="13" t="n">
        <v>-0.044173532904952</v>
      </c>
      <c r="K592" s="13" t="n">
        <v>-1.07631233320292</v>
      </c>
    </row>
    <row r="593" customFormat="false" ht="15" hidden="false" customHeight="false" outlineLevel="0" collapsed="false">
      <c r="A593" s="12" t="n">
        <v>2012</v>
      </c>
      <c r="B593" s="12" t="n">
        <v>4</v>
      </c>
      <c r="C593" s="13" t="n">
        <v>1.21427333333333</v>
      </c>
      <c r="D593" s="13" t="n">
        <v>2.38626598053495</v>
      </c>
      <c r="E593" s="13" t="n">
        <v>-1.17199264720162</v>
      </c>
      <c r="F593" s="13" t="n">
        <v>0.0493491951038011</v>
      </c>
      <c r="G593" s="13" t="n">
        <v>-0.0491682697891216</v>
      </c>
      <c r="H593" s="13" t="n">
        <v>-0.0484186027724505</v>
      </c>
      <c r="I593" s="13" t="n">
        <v>-0.0122260139597463</v>
      </c>
      <c r="J593" s="13" t="n">
        <v>-0.0438683855277522</v>
      </c>
      <c r="K593" s="13" t="n">
        <v>-1.06766057025635</v>
      </c>
    </row>
    <row r="594" customFormat="false" ht="15" hidden="false" customHeight="false" outlineLevel="0" collapsed="false">
      <c r="A594" s="12" t="n">
        <v>2012</v>
      </c>
      <c r="B594" s="12" t="n">
        <v>5</v>
      </c>
      <c r="C594" s="13" t="n">
        <v>0.934509677419355</v>
      </c>
      <c r="D594" s="13" t="n">
        <v>2.14488212511153</v>
      </c>
      <c r="E594" s="13" t="n">
        <v>-1.21037244769217</v>
      </c>
      <c r="F594" s="13" t="n">
        <v>-0.024093341657246</v>
      </c>
      <c r="G594" s="13" t="n">
        <v>-0.00337525240157915</v>
      </c>
      <c r="H594" s="13" t="n">
        <v>-0.0525387118388516</v>
      </c>
      <c r="I594" s="13" t="n">
        <v>-0.0186168858383224</v>
      </c>
      <c r="J594" s="13" t="n">
        <v>-0.0431281695254037</v>
      </c>
      <c r="K594" s="13" t="n">
        <v>-1.06862008643077</v>
      </c>
    </row>
    <row r="595" customFormat="false" ht="15" hidden="false" customHeight="false" outlineLevel="0" collapsed="false">
      <c r="A595" s="12" t="n">
        <v>2012</v>
      </c>
      <c r="B595" s="12" t="n">
        <v>6</v>
      </c>
      <c r="C595" s="13" t="n">
        <v>0.451116666666667</v>
      </c>
      <c r="D595" s="13" t="n">
        <v>1.57035868825797</v>
      </c>
      <c r="E595" s="13" t="n">
        <v>-1.1192420215913</v>
      </c>
      <c r="F595" s="13" t="n">
        <v>0.020913993324998</v>
      </c>
      <c r="G595" s="13" t="n">
        <v>0.0453470704274856</v>
      </c>
      <c r="H595" s="13" t="n">
        <v>-0.0496192651432939</v>
      </c>
      <c r="I595" s="13" t="n">
        <v>-0.0224907366163472</v>
      </c>
      <c r="J595" s="13" t="n">
        <v>-0.0416898026972519</v>
      </c>
      <c r="K595" s="13" t="n">
        <v>-1.07170328088689</v>
      </c>
    </row>
    <row r="596" customFormat="false" ht="15" hidden="false" customHeight="false" outlineLevel="0" collapsed="false">
      <c r="A596" s="12" t="n">
        <v>2012</v>
      </c>
      <c r="B596" s="12" t="n">
        <v>7</v>
      </c>
      <c r="C596" s="13" t="n">
        <v>0.0994387096774194</v>
      </c>
      <c r="D596" s="13" t="n">
        <v>1.23848973460008</v>
      </c>
      <c r="E596" s="13" t="n">
        <v>-1.13905102492266</v>
      </c>
      <c r="F596" s="13" t="n">
        <v>-0.035281320067808</v>
      </c>
      <c r="G596" s="13" t="n">
        <v>0.0661233166653636</v>
      </c>
      <c r="H596" s="13" t="n">
        <v>-0.0397615490924487</v>
      </c>
      <c r="I596" s="13" t="n">
        <v>-0.0238216727924389</v>
      </c>
      <c r="J596" s="13" t="n">
        <v>-0.0393900363808744</v>
      </c>
      <c r="K596" s="13" t="n">
        <v>-1.06691976325446</v>
      </c>
    </row>
    <row r="597" customFormat="false" ht="15" hidden="false" customHeight="false" outlineLevel="0" collapsed="false">
      <c r="A597" s="12" t="n">
        <v>2012</v>
      </c>
      <c r="B597" s="12" t="n">
        <v>8</v>
      </c>
      <c r="C597" s="13" t="n">
        <v>0.332190322580645</v>
      </c>
      <c r="D597" s="13" t="n">
        <v>1.43350504495827</v>
      </c>
      <c r="E597" s="13" t="n">
        <v>-1.10131472237763</v>
      </c>
      <c r="F597" s="13" t="n">
        <v>-0.013324437646634</v>
      </c>
      <c r="G597" s="13" t="n">
        <v>0.0468992464924408</v>
      </c>
      <c r="H597" s="13" t="n">
        <v>-0.0240604485345308</v>
      </c>
      <c r="I597" s="13" t="n">
        <v>-0.022876176019039</v>
      </c>
      <c r="J597" s="13" t="n">
        <v>-0.0361830214824991</v>
      </c>
      <c r="K597" s="13" t="n">
        <v>-1.05176988518736</v>
      </c>
    </row>
    <row r="598" customFormat="false" ht="15" hidden="false" customHeight="false" outlineLevel="0" collapsed="false">
      <c r="A598" s="12" t="n">
        <v>2012</v>
      </c>
      <c r="B598" s="12" t="n">
        <v>9</v>
      </c>
      <c r="C598" s="13" t="n">
        <v>0.853293333333333</v>
      </c>
      <c r="D598" s="13" t="n">
        <v>1.84645111148511</v>
      </c>
      <c r="E598" s="13" t="n">
        <v>-0.99315777815178</v>
      </c>
      <c r="F598" s="13" t="n">
        <v>0.097372010988935</v>
      </c>
      <c r="G598" s="13" t="n">
        <v>-0.000645677443679403</v>
      </c>
      <c r="H598" s="13" t="n">
        <v>-0.00450662927045446</v>
      </c>
      <c r="I598" s="13" t="n">
        <v>-0.0201456797648318</v>
      </c>
      <c r="J598" s="13" t="n">
        <v>-0.032147905665671</v>
      </c>
      <c r="K598" s="13" t="n">
        <v>-1.03308389699608</v>
      </c>
    </row>
    <row r="599" customFormat="false" ht="15" hidden="false" customHeight="false" outlineLevel="0" collapsed="false">
      <c r="A599" s="12" t="n">
        <v>2012</v>
      </c>
      <c r="B599" s="12" t="n">
        <v>10</v>
      </c>
      <c r="C599" s="13" t="n">
        <v>0.964251612903226</v>
      </c>
      <c r="D599" s="13" t="n">
        <v>2.18108498472635</v>
      </c>
      <c r="E599" s="13" t="n">
        <v>-1.21683337182312</v>
      </c>
      <c r="F599" s="13" t="n">
        <v>-0.120738960260357</v>
      </c>
      <c r="G599" s="13" t="n">
        <v>-0.0494509985638925</v>
      </c>
      <c r="H599" s="13" t="n">
        <v>0.0162569581283795</v>
      </c>
      <c r="I599" s="13" t="n">
        <v>-0.0162562925223458</v>
      </c>
      <c r="J599" s="13" t="n">
        <v>-0.027486186920268</v>
      </c>
      <c r="K599" s="13" t="n">
        <v>-1.01915789168464</v>
      </c>
    </row>
    <row r="600" customFormat="false" ht="15" hidden="false" customHeight="false" outlineLevel="0" collapsed="false">
      <c r="A600" s="12" t="n">
        <v>2012</v>
      </c>
      <c r="B600" s="12" t="n">
        <v>11</v>
      </c>
      <c r="C600" s="13" t="n">
        <v>1.25844666666667</v>
      </c>
      <c r="D600" s="13" t="n">
        <v>2.24045663732608</v>
      </c>
      <c r="E600" s="13" t="n">
        <v>-0.982009970659413</v>
      </c>
      <c r="F600" s="13" t="n">
        <v>0.101371668890178</v>
      </c>
      <c r="G600" s="13" t="n">
        <v>-0.0723015609012275</v>
      </c>
      <c r="H600" s="13" t="n">
        <v>0.035298998723901</v>
      </c>
      <c r="I600" s="13" t="n">
        <v>-0.0118690775976167</v>
      </c>
      <c r="J600" s="13" t="n">
        <v>-0.0225092925969321</v>
      </c>
      <c r="K600" s="13" t="n">
        <v>-1.01200070717772</v>
      </c>
    </row>
    <row r="601" customFormat="false" ht="15" hidden="false" customHeight="false" outlineLevel="0" collapsed="false">
      <c r="A601" s="12" t="n">
        <v>2012</v>
      </c>
      <c r="B601" s="12" t="n">
        <v>12</v>
      </c>
      <c r="C601" s="13" t="n">
        <v>0.936622580645161</v>
      </c>
      <c r="D601" s="13" t="n">
        <v>2.07558059452245</v>
      </c>
      <c r="E601" s="13" t="n">
        <v>-1.13895801387729</v>
      </c>
      <c r="F601" s="13" t="n">
        <v>-0.100479840517976</v>
      </c>
      <c r="G601" s="13" t="n">
        <v>-0.0561385896600423</v>
      </c>
      <c r="H601" s="13" t="n">
        <v>0.0498341556009283</v>
      </c>
      <c r="I601" s="13" t="n">
        <v>-0.00758485870644094</v>
      </c>
      <c r="J601" s="13" t="n">
        <v>-0.0176175180165992</v>
      </c>
      <c r="K601" s="13" t="n">
        <v>-1.00697136257716</v>
      </c>
    </row>
    <row r="602" customFormat="false" ht="15" hidden="false" customHeight="false" outlineLevel="0" collapsed="false">
      <c r="A602" s="12" t="n">
        <v>2013</v>
      </c>
      <c r="B602" s="12" t="n">
        <v>1</v>
      </c>
      <c r="C602" s="13" t="n">
        <v>1.19481290322581</v>
      </c>
      <c r="D602" s="13" t="n">
        <v>2.03997395453795</v>
      </c>
      <c r="E602" s="13" t="n">
        <v>-0.845161051312141</v>
      </c>
      <c r="F602" s="13" t="n">
        <v>0.121401585055776</v>
      </c>
      <c r="G602" s="13" t="n">
        <v>-0.00901470301945055</v>
      </c>
      <c r="H602" s="13" t="n">
        <v>0.0576593908300693</v>
      </c>
      <c r="I602" s="13" t="n">
        <v>-0.00386624130461366</v>
      </c>
      <c r="J602" s="13" t="n">
        <v>-0.0132720477084705</v>
      </c>
      <c r="K602" s="13" t="n">
        <v>-0.998069035165451</v>
      </c>
    </row>
    <row r="603" customFormat="false" ht="15" hidden="false" customHeight="false" outlineLevel="0" collapsed="false">
      <c r="A603" s="12" t="n">
        <v>2013</v>
      </c>
      <c r="B603" s="12" t="n">
        <v>2</v>
      </c>
      <c r="C603" s="13" t="n">
        <v>1.13883571428571</v>
      </c>
      <c r="D603" s="13" t="n">
        <v>2.18826218145774</v>
      </c>
      <c r="E603" s="13" t="n">
        <v>-1.04942646717203</v>
      </c>
      <c r="F603" s="13" t="n">
        <v>-0.156166281547427</v>
      </c>
      <c r="G603" s="13" t="n">
        <v>0.0438050471037189</v>
      </c>
      <c r="H603" s="13" t="n">
        <v>0.0575168318261249</v>
      </c>
      <c r="I603" s="13" t="n">
        <v>-0.000986637594882742</v>
      </c>
      <c r="J603" s="13" t="n">
        <v>-0.00996227449499761</v>
      </c>
      <c r="K603" s="13" t="n">
        <v>-0.983633152464566</v>
      </c>
    </row>
    <row r="604" customFormat="false" ht="15" hidden="false" customHeight="false" outlineLevel="0" collapsed="false">
      <c r="A604" s="12" t="n">
        <v>2013</v>
      </c>
      <c r="B604" s="12" t="n">
        <v>3</v>
      </c>
      <c r="C604" s="13" t="n">
        <v>1.5995064516129</v>
      </c>
      <c r="D604" s="13" t="n">
        <v>2.33616093490219</v>
      </c>
      <c r="E604" s="13" t="n">
        <v>-0.736654483289291</v>
      </c>
      <c r="F604" s="13" t="n">
        <v>0.115798242234017</v>
      </c>
      <c r="G604" s="13" t="n">
        <v>0.0733700466752498</v>
      </c>
      <c r="H604" s="13" t="n">
        <v>0.0493154094133644</v>
      </c>
      <c r="I604" s="13" t="n">
        <v>0.000988023134971789</v>
      </c>
      <c r="J604" s="13" t="n">
        <v>-0.00817095452419201</v>
      </c>
      <c r="K604" s="13" t="n">
        <v>-0.967955250222702</v>
      </c>
    </row>
    <row r="605" customFormat="false" ht="15" hidden="false" customHeight="false" outlineLevel="0" collapsed="false">
      <c r="A605" s="12" t="n">
        <v>2013</v>
      </c>
      <c r="B605" s="12" t="n">
        <v>4</v>
      </c>
      <c r="C605" s="13" t="n">
        <v>1.53112666666667</v>
      </c>
      <c r="D605" s="13" t="n">
        <v>2.40826727866775</v>
      </c>
      <c r="E605" s="13" t="n">
        <v>-0.877140612001085</v>
      </c>
      <c r="F605" s="13" t="n">
        <v>-0.0119947700207136</v>
      </c>
      <c r="G605" s="13" t="n">
        <v>0.0634529317840141</v>
      </c>
      <c r="H605" s="13" t="n">
        <v>0.0341658489367634</v>
      </c>
      <c r="I605" s="13" t="n">
        <v>0.00218396284247833</v>
      </c>
      <c r="J605" s="13" t="n">
        <v>-0.00833980353365891</v>
      </c>
      <c r="K605" s="13" t="n">
        <v>-0.956608782009968</v>
      </c>
    </row>
    <row r="606" customFormat="false" ht="15" hidden="false" customHeight="false" outlineLevel="0" collapsed="false">
      <c r="A606" s="12" t="n">
        <v>2013</v>
      </c>
      <c r="B606" s="12" t="n">
        <v>5</v>
      </c>
      <c r="C606" s="13" t="n">
        <v>1.24851290322581</v>
      </c>
      <c r="D606" s="13" t="n">
        <v>2.16538805284119</v>
      </c>
      <c r="E606" s="13" t="n">
        <v>-0.916875149615387</v>
      </c>
      <c r="F606" s="13" t="n">
        <v>0.00639517826681638</v>
      </c>
      <c r="G606" s="13" t="n">
        <v>0.0202138014906137</v>
      </c>
      <c r="H606" s="13" t="n">
        <v>0.0142170508699075</v>
      </c>
      <c r="I606" s="13" t="n">
        <v>0.00287441301458889</v>
      </c>
      <c r="J606" s="13" t="n">
        <v>-0.010837905762202</v>
      </c>
      <c r="K606" s="13" t="n">
        <v>-0.949737687495112</v>
      </c>
    </row>
    <row r="607" customFormat="false" ht="15" hidden="false" customHeight="false" outlineLevel="0" collapsed="false">
      <c r="A607" s="12" t="n">
        <v>2013</v>
      </c>
      <c r="B607" s="12" t="n">
        <v>6</v>
      </c>
      <c r="C607" s="13" t="n">
        <v>0.559876666666667</v>
      </c>
      <c r="D607" s="13" t="n">
        <v>1.58922674549386</v>
      </c>
      <c r="E607" s="13" t="n">
        <v>-1.02935007882719</v>
      </c>
      <c r="F607" s="13" t="n">
        <v>-0.0359149257428721</v>
      </c>
      <c r="G607" s="13" t="n">
        <v>-0.0313689841233762</v>
      </c>
      <c r="H607" s="13" t="n">
        <v>-0.00768028044532582</v>
      </c>
      <c r="I607" s="13" t="n">
        <v>0.00341259477935953</v>
      </c>
      <c r="J607" s="13" t="n">
        <v>-0.0159347956033921</v>
      </c>
      <c r="K607" s="13" t="n">
        <v>-0.941863687691583</v>
      </c>
    </row>
    <row r="608" customFormat="false" ht="15" hidden="false" customHeight="false" outlineLevel="0" collapsed="false">
      <c r="A608" s="12" t="n">
        <v>2013</v>
      </c>
      <c r="B608" s="12" t="n">
        <v>7</v>
      </c>
      <c r="C608" s="13" t="n">
        <v>0.215474193548387</v>
      </c>
      <c r="D608" s="13" t="n">
        <v>1.25557217423913</v>
      </c>
      <c r="E608" s="13" t="n">
        <v>-1.04009798069075</v>
      </c>
      <c r="F608" s="13" t="n">
        <v>-0.000216708593454438</v>
      </c>
      <c r="G608" s="13" t="n">
        <v>-0.0624979581557588</v>
      </c>
      <c r="H608" s="13" t="n">
        <v>-0.0284231077944418</v>
      </c>
      <c r="I608" s="13" t="n">
        <v>0.00415370798172134</v>
      </c>
      <c r="J608" s="13" t="n">
        <v>-0.0237793945520928</v>
      </c>
      <c r="K608" s="13" t="n">
        <v>-0.929334519576721</v>
      </c>
    </row>
    <row r="609" customFormat="false" ht="15" hidden="false" customHeight="false" outlineLevel="0" collapsed="false">
      <c r="A609" s="12" t="n">
        <v>2013</v>
      </c>
      <c r="B609" s="12" t="n">
        <v>8</v>
      </c>
      <c r="C609" s="13" t="n">
        <v>0.403632258064516</v>
      </c>
      <c r="D609" s="13" t="n">
        <v>1.44864941006405</v>
      </c>
      <c r="E609" s="13" t="n">
        <v>-1.04501715199954</v>
      </c>
      <c r="F609" s="13" t="n">
        <v>0.0023954432269102</v>
      </c>
      <c r="G609" s="13" t="n">
        <v>-0.0575275546170577</v>
      </c>
      <c r="H609" s="13" t="n">
        <v>-0.0451371558592139</v>
      </c>
      <c r="I609" s="13" t="n">
        <v>0.00537822573069833</v>
      </c>
      <c r="J609" s="13" t="n">
        <v>-0.0343853276459171</v>
      </c>
      <c r="K609" s="13" t="n">
        <v>-0.915740782834956</v>
      </c>
    </row>
    <row r="610" customFormat="false" ht="15" hidden="false" customHeight="false" outlineLevel="0" collapsed="false">
      <c r="A610" s="12" t="n">
        <v>2013</v>
      </c>
      <c r="B610" s="12" t="n">
        <v>9</v>
      </c>
      <c r="C610" s="13" t="n">
        <v>0.85388</v>
      </c>
      <c r="D610" s="13" t="n">
        <v>1.85950079555461</v>
      </c>
      <c r="E610" s="13" t="n">
        <v>-1.00562079555461</v>
      </c>
      <c r="F610" s="13" t="n">
        <v>0.0205365193563431</v>
      </c>
      <c r="G610" s="13" t="n">
        <v>-0.0223520236717165</v>
      </c>
      <c r="H610" s="13" t="n">
        <v>-0.0556035964494619</v>
      </c>
      <c r="I610" s="13" t="n">
        <v>0.00722847982165503</v>
      </c>
      <c r="J610" s="13" t="n">
        <v>-0.0476226748090968</v>
      </c>
      <c r="K610" s="13" t="n">
        <v>-0.907807499802337</v>
      </c>
    </row>
    <row r="611" customFormat="false" ht="15" hidden="false" customHeight="false" outlineLevel="0" collapsed="false">
      <c r="A611" s="12" t="n">
        <v>2013</v>
      </c>
      <c r="B611" s="12" t="n">
        <v>10</v>
      </c>
      <c r="C611" s="13" t="n">
        <v>1.19706451612903</v>
      </c>
      <c r="D611" s="13" t="n">
        <v>2.19187981322321</v>
      </c>
      <c r="E611" s="13" t="n">
        <v>-0.994815297094179</v>
      </c>
      <c r="F611" s="13" t="n">
        <v>0.00369897407781022</v>
      </c>
      <c r="G611" s="13" t="n">
        <v>0.0203254503080365</v>
      </c>
      <c r="H611" s="13" t="n">
        <v>-0.0585590819667605</v>
      </c>
      <c r="I611" s="13" t="n">
        <v>0.009668543683689</v>
      </c>
      <c r="J611" s="13" t="n">
        <v>-0.0632159889675737</v>
      </c>
      <c r="K611" s="13" t="n">
        <v>-0.90673319422938</v>
      </c>
    </row>
    <row r="612" customFormat="false" ht="15" hidden="false" customHeight="false" outlineLevel="0" collapsed="false">
      <c r="A612" s="12" t="n">
        <v>2013</v>
      </c>
      <c r="B612" s="12" t="n">
        <v>11</v>
      </c>
      <c r="C612" s="13" t="n">
        <v>1.23224666666667</v>
      </c>
      <c r="D612" s="13" t="n">
        <v>2.248833468579</v>
      </c>
      <c r="E612" s="13" t="n">
        <v>-1.01658680191233</v>
      </c>
      <c r="F612" s="13" t="n">
        <v>-0.0340857011484656</v>
      </c>
      <c r="G612" s="13" t="n">
        <v>0.0451602505634805</v>
      </c>
      <c r="H612" s="13" t="n">
        <v>-0.0538254911971691</v>
      </c>
      <c r="I612" s="13" t="n">
        <v>0.0124740455029312</v>
      </c>
      <c r="J612" s="13" t="n">
        <v>-0.0807483690060555</v>
      </c>
      <c r="K612" s="13" t="n">
        <v>-0.905561536627051</v>
      </c>
    </row>
    <row r="613" customFormat="false" ht="15" hidden="false" customHeight="false" outlineLevel="0" collapsed="false">
      <c r="A613" s="12" t="n">
        <v>2013</v>
      </c>
      <c r="B613" s="12" t="n">
        <v>12</v>
      </c>
      <c r="C613" s="13" t="n">
        <v>1.13409032258065</v>
      </c>
      <c r="D613" s="13" t="n">
        <v>2.08137393800083</v>
      </c>
      <c r="E613" s="13" t="n">
        <v>-0.947283615420188</v>
      </c>
      <c r="F613" s="13" t="n">
        <v>0.0358950781276007</v>
      </c>
      <c r="G613" s="13" t="n">
        <v>0.0391492201614223</v>
      </c>
      <c r="H613" s="13" t="n">
        <v>-0.0422619535941089</v>
      </c>
      <c r="I613" s="13" t="n">
        <v>0.0152542309083688</v>
      </c>
      <c r="J613" s="13" t="n">
        <v>-0.0996714003005038</v>
      </c>
      <c r="K613" s="13" t="n">
        <v>-0.895648790722967</v>
      </c>
    </row>
    <row r="614" customFormat="false" ht="15" hidden="false" customHeight="false" outlineLevel="0" collapsed="false">
      <c r="A614" s="12" t="n">
        <v>2014</v>
      </c>
      <c r="B614" s="12" t="n">
        <v>1</v>
      </c>
      <c r="C614" s="13" t="n">
        <v>1.04743225806452</v>
      </c>
      <c r="D614" s="13" t="n">
        <v>2.04301660447124</v>
      </c>
      <c r="E614" s="13" t="n">
        <v>-0.995584346406721</v>
      </c>
      <c r="F614" s="13" t="n">
        <v>-0.00191463243054184</v>
      </c>
      <c r="G614" s="13" t="n">
        <v>0.00906307539414192</v>
      </c>
      <c r="H614" s="13" t="n">
        <v>-0.02556658425672</v>
      </c>
      <c r="I614" s="13" t="n">
        <v>0.017503922198988</v>
      </c>
      <c r="J614" s="13" t="n">
        <v>-0.119320782170207</v>
      </c>
      <c r="K614" s="13" t="n">
        <v>-0.875349345142382</v>
      </c>
    </row>
    <row r="615" customFormat="false" ht="15" hidden="false" customHeight="false" outlineLevel="0" collapsed="false">
      <c r="A615" s="12" t="n">
        <v>2014</v>
      </c>
      <c r="B615" s="12" t="n">
        <v>2</v>
      </c>
      <c r="C615" s="13" t="n">
        <v>1.13388571428571</v>
      </c>
      <c r="D615" s="13" t="n">
        <v>2.18838586371294</v>
      </c>
      <c r="E615" s="13" t="n">
        <v>-1.05450014942723</v>
      </c>
      <c r="F615" s="13" t="n">
        <v>-0.0529689080616993</v>
      </c>
      <c r="G615" s="13" t="n">
        <v>-0.0228893820915247</v>
      </c>
      <c r="H615" s="13" t="n">
        <v>-0.00598067846803836</v>
      </c>
      <c r="I615" s="13" t="n">
        <v>0.0186786185727735</v>
      </c>
      <c r="J615" s="13" t="n">
        <v>-0.138937408091136</v>
      </c>
      <c r="K615" s="13" t="n">
        <v>-0.852402391287605</v>
      </c>
    </row>
    <row r="616" customFormat="false" ht="15" hidden="false" customHeight="false" outlineLevel="0" collapsed="false">
      <c r="A616" s="12" t="n">
        <v>2014</v>
      </c>
      <c r="B616" s="12" t="n">
        <v>3</v>
      </c>
      <c r="C616" s="13" t="n">
        <v>1.40427096774194</v>
      </c>
      <c r="D616" s="13" t="n">
        <v>2.33319696496933</v>
      </c>
      <c r="E616" s="13" t="n">
        <v>-0.92892599722739</v>
      </c>
      <c r="F616" s="13" t="n">
        <v>0.0671303191258445</v>
      </c>
      <c r="G616" s="13" t="n">
        <v>-0.0333275689958344</v>
      </c>
      <c r="H616" s="13" t="n">
        <v>0.0140414200916726</v>
      </c>
      <c r="I616" s="13" t="n">
        <v>0.0182824456551944</v>
      </c>
      <c r="J616" s="13" t="n">
        <v>-0.157693543083417</v>
      </c>
      <c r="K616" s="13" t="n">
        <v>-0.83735907002085</v>
      </c>
    </row>
    <row r="617" customFormat="false" ht="15" hidden="false" customHeight="false" outlineLevel="0" collapsed="false">
      <c r="A617" s="12" t="n">
        <v>2014</v>
      </c>
      <c r="B617" s="12" t="n">
        <v>4</v>
      </c>
      <c r="C617" s="13" t="n">
        <v>1.43392666666667</v>
      </c>
      <c r="D617" s="13" t="n">
        <v>2.40204722858073</v>
      </c>
      <c r="E617" s="13" t="n">
        <v>-0.96812056191406</v>
      </c>
      <c r="F617" s="13" t="n">
        <v>0.0060956018603742</v>
      </c>
      <c r="G617" s="13" t="n">
        <v>-0.0140344474528667</v>
      </c>
      <c r="H617" s="13" t="n">
        <v>0.032138998201916</v>
      </c>
      <c r="I617" s="13" t="n">
        <v>0.0159564792818798</v>
      </c>
      <c r="J617" s="13" t="n">
        <v>-0.174723567896394</v>
      </c>
      <c r="K617" s="13" t="n">
        <v>-0.833553625908969</v>
      </c>
    </row>
    <row r="618" customFormat="false" ht="15" hidden="false" customHeight="false" outlineLevel="0" collapsed="false">
      <c r="A618" s="12" t="n">
        <v>2014</v>
      </c>
      <c r="B618" s="12" t="n">
        <v>5</v>
      </c>
      <c r="C618" s="13" t="n">
        <v>1.13449677419355</v>
      </c>
      <c r="D618" s="13" t="n">
        <v>2.15574442481385</v>
      </c>
      <c r="E618" s="13" t="n">
        <v>-1.0212476506203</v>
      </c>
      <c r="F618" s="13" t="n">
        <v>-0.0765329212954955</v>
      </c>
      <c r="G618" s="13" t="n">
        <v>0.0205059120363125</v>
      </c>
      <c r="H618" s="13" t="n">
        <v>0.0462884330699192</v>
      </c>
      <c r="I618" s="13" t="n">
        <v>0.011554450861705</v>
      </c>
      <c r="J618" s="13" t="n">
        <v>-0.189158547258298</v>
      </c>
      <c r="K618" s="13" t="n">
        <v>-0.833904978034444</v>
      </c>
    </row>
    <row r="619" customFormat="false" ht="15" hidden="false" customHeight="false" outlineLevel="0" collapsed="false">
      <c r="A619" s="12" t="n">
        <v>2014</v>
      </c>
      <c r="B619" s="12" t="n">
        <v>6</v>
      </c>
      <c r="C619" s="13" t="n">
        <v>0.641456666666667</v>
      </c>
      <c r="D619" s="13" t="n">
        <v>1.57599365002425</v>
      </c>
      <c r="E619" s="13" t="n">
        <v>-0.934536983357585</v>
      </c>
      <c r="F619" s="13" t="n">
        <v>-0.007761451455873</v>
      </c>
      <c r="G619" s="13" t="n">
        <v>0.0416630217145048</v>
      </c>
      <c r="H619" s="13" t="n">
        <v>0.0549676902619991</v>
      </c>
      <c r="I619" s="13" t="n">
        <v>0.00519408741554101</v>
      </c>
      <c r="J619" s="13" t="n">
        <v>-0.200163627739883</v>
      </c>
      <c r="K619" s="13" t="n">
        <v>-0.828436703553874</v>
      </c>
    </row>
    <row r="620" customFormat="false" ht="15" hidden="false" customHeight="false" outlineLevel="0" collapsed="false">
      <c r="A620" s="12" t="n">
        <v>2014</v>
      </c>
      <c r="B620" s="12" t="n">
        <v>7</v>
      </c>
      <c r="C620" s="13" t="n">
        <v>0.4206</v>
      </c>
      <c r="D620" s="13" t="n">
        <v>1.23858601043711</v>
      </c>
      <c r="E620" s="13" t="n">
        <v>-0.817986010437111</v>
      </c>
      <c r="F620" s="13" t="n">
        <v>0.119965995975248</v>
      </c>
      <c r="G620" s="13" t="n">
        <v>0.0279803266216557</v>
      </c>
      <c r="H620" s="13" t="n">
        <v>0.0572483540547556</v>
      </c>
      <c r="I620" s="13" t="n">
        <v>-0.00272478338676643</v>
      </c>
      <c r="J620" s="13" t="n">
        <v>-0.206976977639206</v>
      </c>
      <c r="K620" s="13" t="n">
        <v>-0.813478926062797</v>
      </c>
    </row>
    <row r="621" customFormat="false" ht="15" hidden="false" customHeight="false" outlineLevel="0" collapsed="false">
      <c r="A621" s="12" t="n">
        <v>2014</v>
      </c>
      <c r="B621" s="12" t="n">
        <v>8</v>
      </c>
      <c r="C621" s="13" t="n">
        <v>0.391664516129032</v>
      </c>
      <c r="D621" s="13" t="n">
        <v>1.42774954589768</v>
      </c>
      <c r="E621" s="13" t="n">
        <v>-1.03608502976865</v>
      </c>
      <c r="F621" s="13" t="n">
        <v>-0.0599687351357893</v>
      </c>
      <c r="G621" s="13" t="n">
        <v>-0.0155690782001572</v>
      </c>
      <c r="H621" s="13" t="n">
        <v>0.0528354655558981</v>
      </c>
      <c r="I621" s="13" t="n">
        <v>-0.0115400709509106</v>
      </c>
      <c r="J621" s="13" t="n">
        <v>-0.208948662613717</v>
      </c>
      <c r="K621" s="13" t="n">
        <v>-0.792893948423972</v>
      </c>
    </row>
    <row r="622" customFormat="false" ht="15" hidden="false" customHeight="false" outlineLevel="0" collapsed="false">
      <c r="A622" s="12" t="n">
        <v>2014</v>
      </c>
      <c r="B622" s="12" t="n">
        <v>9</v>
      </c>
      <c r="C622" s="13" t="n">
        <v>0.802573333333333</v>
      </c>
      <c r="D622" s="13" t="n">
        <v>1.83453024575945</v>
      </c>
      <c r="E622" s="13" t="n">
        <v>-1.03195691242612</v>
      </c>
      <c r="F622" s="13" t="n">
        <v>-0.0171695378710969</v>
      </c>
      <c r="G622" s="13" t="n">
        <v>-0.0572052243179667</v>
      </c>
      <c r="H622" s="13" t="n">
        <v>0.0420772285367516</v>
      </c>
      <c r="I622" s="13" t="n">
        <v>-0.0203849826838975</v>
      </c>
      <c r="J622" s="13" t="n">
        <v>-0.205577527220625</v>
      </c>
      <c r="K622" s="13" t="n">
        <v>-0.773696868869281</v>
      </c>
    </row>
    <row r="623" customFormat="false" ht="15" hidden="false" customHeight="false" outlineLevel="0" collapsed="false">
      <c r="A623" s="12" t="n">
        <v>2014</v>
      </c>
      <c r="B623" s="12" t="n">
        <v>10</v>
      </c>
      <c r="C623" s="13" t="n">
        <v>1.14633225806452</v>
      </c>
      <c r="D623" s="13" t="n">
        <v>2.16268591258925</v>
      </c>
      <c r="E623" s="13" t="n">
        <v>-1.01635365452474</v>
      </c>
      <c r="F623" s="13" t="n">
        <v>0.00555910615052513</v>
      </c>
      <c r="G623" s="13" t="n">
        <v>-0.0609234597490282</v>
      </c>
      <c r="H623" s="13" t="n">
        <v>0.0259570823955081</v>
      </c>
      <c r="I623" s="13" t="n">
        <v>-0.0282780230754788</v>
      </c>
      <c r="J623" s="13" t="n">
        <v>-0.196543867943773</v>
      </c>
      <c r="K623" s="13" t="n">
        <v>-0.762124492302491</v>
      </c>
    </row>
    <row r="624" customFormat="false" ht="15" hidden="false" customHeight="false" outlineLevel="0" collapsed="false">
      <c r="A624" s="12" t="n">
        <v>2014</v>
      </c>
      <c r="B624" s="12" t="n">
        <v>11</v>
      </c>
      <c r="C624" s="13" t="n">
        <v>1.19414333333333</v>
      </c>
      <c r="D624" s="13" t="n">
        <v>2.21526853832892</v>
      </c>
      <c r="E624" s="13" t="n">
        <v>-1.02112520499559</v>
      </c>
      <c r="F624" s="13" t="n">
        <v>-0.0349135533930494</v>
      </c>
      <c r="G624" s="13" t="n">
        <v>-0.0165884879763956</v>
      </c>
      <c r="H624" s="13" t="n">
        <v>0.00606436651356267</v>
      </c>
      <c r="I624" s="13" t="n">
        <v>-0.0342355985791108</v>
      </c>
      <c r="J624" s="13" t="n">
        <v>-0.181735545633975</v>
      </c>
      <c r="K624" s="13" t="n">
        <v>-0.759716385926617</v>
      </c>
    </row>
    <row r="625" customFormat="false" ht="15" hidden="false" customHeight="false" outlineLevel="0" collapsed="false">
      <c r="A625" s="12" t="n">
        <v>2014</v>
      </c>
      <c r="B625" s="12" t="n">
        <v>12</v>
      </c>
      <c r="C625" s="13" t="n">
        <v>1.1986</v>
      </c>
      <c r="D625" s="13" t="n">
        <v>2.04329594303199</v>
      </c>
      <c r="E625" s="13" t="n">
        <v>-0.844695943031992</v>
      </c>
      <c r="F625" s="13" t="n">
        <v>0.0819287779828788</v>
      </c>
      <c r="G625" s="13" t="n">
        <v>0.0474073973383</v>
      </c>
      <c r="H625" s="13" t="n">
        <v>-0.0154759939311187</v>
      </c>
      <c r="I625" s="13" t="n">
        <v>-0.0373939688439644</v>
      </c>
      <c r="J625" s="13" t="n">
        <v>-0.161265315399757</v>
      </c>
      <c r="K625" s="13" t="n">
        <v>-0.759896840178331</v>
      </c>
    </row>
    <row r="626" customFormat="false" ht="15" hidden="false" customHeight="false" outlineLevel="0" collapsed="false">
      <c r="A626" s="12" t="n">
        <v>2015</v>
      </c>
      <c r="B626" s="12" t="n">
        <v>1</v>
      </c>
      <c r="C626" s="13" t="n">
        <v>1.05283225806452</v>
      </c>
      <c r="D626" s="13" t="n">
        <v>2.00028979921313</v>
      </c>
      <c r="E626" s="13" t="n">
        <v>-0.947457541148613</v>
      </c>
      <c r="F626" s="13" t="n">
        <v>-0.0695103957873559</v>
      </c>
      <c r="G626" s="13" t="n">
        <v>0.0825702760478669</v>
      </c>
      <c r="H626" s="13" t="n">
        <v>-0.0361421650649631</v>
      </c>
      <c r="I626" s="13" t="n">
        <v>-0.0371254482857074</v>
      </c>
      <c r="J626" s="13" t="n">
        <v>-0.135477572370864</v>
      </c>
      <c r="K626" s="13" t="n">
        <v>-0.75177223568759</v>
      </c>
    </row>
    <row r="627" customFormat="false" ht="15" hidden="false" customHeight="false" outlineLevel="0" collapsed="false">
      <c r="A627" s="12" t="n">
        <v>2015</v>
      </c>
      <c r="B627" s="12" t="n">
        <v>2</v>
      </c>
      <c r="C627" s="13" t="n">
        <v>1.25558571428571</v>
      </c>
      <c r="D627" s="13" t="n">
        <v>2.14088142440508</v>
      </c>
      <c r="E627" s="13" t="n">
        <v>-0.885295710119361</v>
      </c>
      <c r="F627" s="13" t="n">
        <v>-0.0205946706224458</v>
      </c>
      <c r="G627" s="13" t="n">
        <v>0.0582268980100224</v>
      </c>
      <c r="H627" s="13" t="n">
        <v>-0.0532443937543117</v>
      </c>
      <c r="I627" s="13" t="n">
        <v>-0.0331337930228583</v>
      </c>
      <c r="J627" s="13" t="n">
        <v>-0.104943331596451</v>
      </c>
      <c r="K627" s="13" t="n">
        <v>-0.731606419133317</v>
      </c>
    </row>
    <row r="628" customFormat="false" ht="15" hidden="false" customHeight="false" outlineLevel="0" collapsed="false">
      <c r="A628" s="12" t="n">
        <v>2015</v>
      </c>
      <c r="B628" s="12" t="n">
        <v>3</v>
      </c>
      <c r="C628" s="13" t="n">
        <v>1.52053225806452</v>
      </c>
      <c r="D628" s="13" t="n">
        <v>2.28079360619979</v>
      </c>
      <c r="E628" s="13" t="n">
        <v>-0.760261348135269</v>
      </c>
      <c r="F628" s="13" t="n">
        <v>0.119690470808048</v>
      </c>
      <c r="G628" s="13" t="n">
        <v>-0.0111662919647558</v>
      </c>
      <c r="H628" s="13" t="n">
        <v>-0.0642465738035405</v>
      </c>
      <c r="I628" s="13" t="n">
        <v>-0.0255156529670104</v>
      </c>
      <c r="J628" s="13" t="n">
        <v>-0.0704429688284773</v>
      </c>
      <c r="K628" s="13" t="n">
        <v>-0.708580331379533</v>
      </c>
    </row>
    <row r="629" customFormat="false" ht="15" hidden="false" customHeight="false" outlineLevel="0" collapsed="false">
      <c r="A629" s="12" t="n">
        <v>2015</v>
      </c>
      <c r="B629" s="12" t="n">
        <v>4</v>
      </c>
      <c r="C629" s="13" t="n">
        <v>1.40257333333333</v>
      </c>
      <c r="D629" s="13" t="n">
        <v>2.3446318019737</v>
      </c>
      <c r="E629" s="13" t="n">
        <v>-0.942058468640368</v>
      </c>
      <c r="F629" s="13" t="n">
        <v>-0.058360958330546</v>
      </c>
      <c r="G629" s="13" t="n">
        <v>-0.0738584283016978</v>
      </c>
      <c r="H629" s="13" t="n">
        <v>-0.0671528019833915</v>
      </c>
      <c r="I629" s="13" t="n">
        <v>-0.0147786333138087</v>
      </c>
      <c r="J629" s="13" t="n">
        <v>-0.0329369900047542</v>
      </c>
      <c r="K629" s="13" t="n">
        <v>-0.694970656706169</v>
      </c>
    </row>
    <row r="630" customFormat="false" ht="15" hidden="false" customHeight="false" outlineLevel="0" collapsed="false">
      <c r="A630" s="12" t="n">
        <v>2015</v>
      </c>
      <c r="B630" s="12" t="n">
        <v>5</v>
      </c>
      <c r="C630" s="13" t="n">
        <v>1.27236774193548</v>
      </c>
      <c r="D630" s="13" t="n">
        <v>2.09321249779067</v>
      </c>
      <c r="E630" s="13" t="n">
        <v>-0.820844755855183</v>
      </c>
      <c r="F630" s="13" t="n">
        <v>0.00830104488862138</v>
      </c>
      <c r="G630" s="13" t="n">
        <v>-0.0805515235096306</v>
      </c>
      <c r="H630" s="13" t="n">
        <v>-0.0608996985102391</v>
      </c>
      <c r="I630" s="13" t="n">
        <v>-0.00181148029152475</v>
      </c>
      <c r="J630" s="13" t="n">
        <v>0.00647413836749562</v>
      </c>
      <c r="K630" s="13" t="n">
        <v>-0.692357236799905</v>
      </c>
    </row>
    <row r="631" customFormat="false" ht="15" hidden="false" customHeight="false" outlineLevel="0" collapsed="false">
      <c r="A631" s="12" t="n">
        <v>2015</v>
      </c>
      <c r="B631" s="12" t="n">
        <v>6</v>
      </c>
      <c r="C631" s="13" t="n">
        <v>0.681896666666667</v>
      </c>
      <c r="D631" s="13" t="n">
        <v>1.50825006264369</v>
      </c>
      <c r="E631" s="13" t="n">
        <v>-0.826353395977024</v>
      </c>
      <c r="F631" s="13" t="n">
        <v>-0.122133625862641</v>
      </c>
      <c r="G631" s="13" t="n">
        <v>-0.0248914801761199</v>
      </c>
      <c r="H631" s="13" t="n">
        <v>-0.0456722710293459</v>
      </c>
      <c r="I631" s="13" t="n">
        <v>0.0121924021003936</v>
      </c>
      <c r="J631" s="13" t="n">
        <v>0.0465992750328068</v>
      </c>
      <c r="K631" s="13" t="n">
        <v>-0.692447696042117</v>
      </c>
    </row>
    <row r="632" customFormat="false" ht="15" hidden="false" customHeight="false" outlineLevel="0" collapsed="false">
      <c r="A632" s="12" t="n">
        <v>2015</v>
      </c>
      <c r="B632" s="12" t="n">
        <v>7</v>
      </c>
      <c r="C632" s="13" t="n">
        <v>0.689854838709678</v>
      </c>
      <c r="D632" s="13" t="n">
        <v>1.16554540836558</v>
      </c>
      <c r="E632" s="13" t="n">
        <v>-0.475690569655903</v>
      </c>
      <c r="F632" s="13" t="n">
        <v>0.0757189451791929</v>
      </c>
      <c r="G632" s="13" t="n">
        <v>0.049653541539668</v>
      </c>
      <c r="H632" s="13" t="n">
        <v>-0.0230561378738774</v>
      </c>
      <c r="I632" s="13" t="n">
        <v>0.0258511706628461</v>
      </c>
      <c r="J632" s="13" t="n">
        <v>0.0862123690898995</v>
      </c>
      <c r="K632" s="13" t="n">
        <v>-0.690070458253633</v>
      </c>
    </row>
    <row r="633" customFormat="false" ht="15" hidden="false" customHeight="false" outlineLevel="0" collapsed="false">
      <c r="A633" s="12" t="n">
        <v>2015</v>
      </c>
      <c r="B633" s="12" t="n">
        <v>8</v>
      </c>
      <c r="C633" s="13" t="n">
        <v>0.948</v>
      </c>
      <c r="D633" s="13" t="n">
        <v>1.3493368876425</v>
      </c>
      <c r="E633" s="13" t="n">
        <v>-0.401336887642495</v>
      </c>
      <c r="F633" s="13" t="n">
        <v>0.0369547083445073</v>
      </c>
      <c r="G633" s="13" t="n">
        <v>0.084023887175124</v>
      </c>
      <c r="H633" s="13" t="n">
        <v>0.00404271616434361</v>
      </c>
      <c r="I633" s="13" t="n">
        <v>0.037738505169613</v>
      </c>
      <c r="J633" s="13" t="n">
        <v>0.124111285102168</v>
      </c>
      <c r="K633" s="13" t="n">
        <v>-0.688207989598251</v>
      </c>
    </row>
    <row r="634" customFormat="false" ht="15" hidden="false" customHeight="false" outlineLevel="0" collapsed="false">
      <c r="A634" s="12" t="n">
        <v>2015</v>
      </c>
      <c r="B634" s="12" t="n">
        <v>9</v>
      </c>
      <c r="C634" s="13" t="n">
        <v>1.42188666666667</v>
      </c>
      <c r="D634" s="13" t="n">
        <v>1.75068128237379</v>
      </c>
      <c r="E634" s="13" t="n">
        <v>-0.328794615707123</v>
      </c>
      <c r="F634" s="13" t="n">
        <v>0.0706771212610062</v>
      </c>
      <c r="G634" s="13" t="n">
        <v>0.0512826069065028</v>
      </c>
      <c r="H634" s="13" t="n">
        <v>0.0317387047079337</v>
      </c>
      <c r="I634" s="13" t="n">
        <v>0.046539568700462</v>
      </c>
      <c r="J634" s="13" t="n">
        <v>0.15917568532405</v>
      </c>
      <c r="K634" s="13" t="n">
        <v>-0.688208302607077</v>
      </c>
    </row>
    <row r="635" customFormat="false" ht="15" hidden="false" customHeight="false" outlineLevel="0" collapsed="false">
      <c r="A635" s="12" t="n">
        <v>2015</v>
      </c>
      <c r="B635" s="12" t="n">
        <v>10</v>
      </c>
      <c r="C635" s="13" t="n">
        <v>1.64481612903226</v>
      </c>
      <c r="D635" s="13" t="n">
        <v>2.07334763813633</v>
      </c>
      <c r="E635" s="13" t="n">
        <v>-0.428531509104071</v>
      </c>
      <c r="F635" s="13" t="n">
        <v>-0.0212510618250068</v>
      </c>
      <c r="G635" s="13" t="n">
        <v>-0.0220081928675011</v>
      </c>
      <c r="H635" s="13" t="n">
        <v>0.0557402865502428</v>
      </c>
      <c r="I635" s="13" t="n">
        <v>0.0512012585568698</v>
      </c>
      <c r="J635" s="13" t="n">
        <v>0.190419813110676</v>
      </c>
      <c r="K635" s="13" t="n">
        <v>-0.682633612629351</v>
      </c>
    </row>
    <row r="636" customFormat="false" ht="15" hidden="false" customHeight="false" outlineLevel="0" collapsed="false">
      <c r="A636" s="12" t="n">
        <v>2015</v>
      </c>
      <c r="B636" s="12" t="n">
        <v>11</v>
      </c>
      <c r="C636" s="13" t="n">
        <v>1.52834666666667</v>
      </c>
      <c r="D636" s="13" t="n">
        <v>2.12039960949076</v>
      </c>
      <c r="E636" s="13" t="n">
        <v>-0.592052942824089</v>
      </c>
      <c r="F636" s="13" t="n">
        <v>-0.188635694373426</v>
      </c>
      <c r="G636" s="13" t="n">
        <v>-0.0781456406664074</v>
      </c>
      <c r="H636" s="13" t="n">
        <v>0.0720708406182544</v>
      </c>
      <c r="I636" s="13" t="n">
        <v>0.0510591468729344</v>
      </c>
      <c r="J636" s="13" t="n">
        <v>0.217036425091517</v>
      </c>
      <c r="K636" s="13" t="n">
        <v>-0.665438020366962</v>
      </c>
    </row>
    <row r="637" customFormat="false" ht="15" hidden="false" customHeight="false" outlineLevel="0" collapsed="false">
      <c r="A637" s="12" t="n">
        <v>2015</v>
      </c>
      <c r="B637" s="12" t="n">
        <v>12</v>
      </c>
      <c r="C637" s="13" t="n">
        <v>1.64237096774194</v>
      </c>
      <c r="D637" s="13" t="n">
        <v>1.94286706632317</v>
      </c>
      <c r="E637" s="13" t="n">
        <v>-0.300496098581231</v>
      </c>
      <c r="F637" s="13" t="n">
        <v>0.0574815798454296</v>
      </c>
      <c r="G637" s="13" t="n">
        <v>-0.0746162626106239</v>
      </c>
      <c r="H637" s="13" t="n">
        <v>0.0778054792734829</v>
      </c>
      <c r="I637" s="13" t="n">
        <v>0.0459257158499658</v>
      </c>
      <c r="J637" s="13" t="n">
        <v>0.238428974607744</v>
      </c>
      <c r="K637" s="13" t="n">
        <v>-0.645521585547229</v>
      </c>
    </row>
    <row r="638" customFormat="false" ht="15" hidden="false" customHeight="false" outlineLevel="0" collapsed="false">
      <c r="A638" s="12" t="n">
        <v>2016</v>
      </c>
      <c r="B638" s="12" t="n">
        <v>1</v>
      </c>
      <c r="C638" s="13" t="n">
        <v>1.79161612903226</v>
      </c>
      <c r="D638" s="13" t="n">
        <v>1.8942840843836</v>
      </c>
      <c r="E638" s="13" t="n">
        <v>-0.102667955351346</v>
      </c>
      <c r="F638" s="13" t="n">
        <v>0.190655543069481</v>
      </c>
      <c r="G638" s="13" t="n">
        <v>-0.0158936584899806</v>
      </c>
      <c r="H638" s="13" t="n">
        <v>0.0716723666855405</v>
      </c>
      <c r="I638" s="13" t="n">
        <v>0.0361285741385253</v>
      </c>
      <c r="J638" s="13" t="n">
        <v>0.254230193485347</v>
      </c>
      <c r="K638" s="13" t="n">
        <v>-0.63946097424026</v>
      </c>
    </row>
    <row r="639" customFormat="false" ht="15" hidden="false" customHeight="false" outlineLevel="0" collapsed="false">
      <c r="A639" s="12" t="n">
        <v>2016</v>
      </c>
      <c r="B639" s="12" t="n">
        <v>2</v>
      </c>
      <c r="C639" s="13" t="n">
        <v>1.60197931034483</v>
      </c>
      <c r="D639" s="13" t="n">
        <v>2.02929470270458</v>
      </c>
      <c r="E639" s="13" t="n">
        <v>-0.427315392359754</v>
      </c>
      <c r="F639" s="13" t="n">
        <v>-0.17245844000982</v>
      </c>
      <c r="G639" s="13" t="n">
        <v>0.0530480020857039</v>
      </c>
      <c r="H639" s="13" t="n">
        <v>0.0543804721283702</v>
      </c>
      <c r="I639" s="13" t="n">
        <v>0.0224928456646988</v>
      </c>
      <c r="J639" s="13" t="n">
        <v>0.264306258908256</v>
      </c>
      <c r="K639" s="13" t="n">
        <v>-0.649084531136962</v>
      </c>
    </row>
    <row r="640" customFormat="false" ht="15" hidden="false" customHeight="false" outlineLevel="0" collapsed="false">
      <c r="A640" s="12" t="n">
        <v>2016</v>
      </c>
      <c r="B640" s="12" t="n">
        <v>3</v>
      </c>
      <c r="C640" s="13" t="n">
        <v>2.00143225806452</v>
      </c>
      <c r="D640" s="13" t="n">
        <v>2.16363471228459</v>
      </c>
      <c r="E640" s="13" t="n">
        <v>-0.162202454220077</v>
      </c>
      <c r="F640" s="13" t="n">
        <v>0.107313918981778</v>
      </c>
      <c r="G640" s="13" t="n">
        <v>0.0827743779154051</v>
      </c>
      <c r="H640" s="13" t="n">
        <v>0.0285829316784571</v>
      </c>
      <c r="I640" s="13" t="n">
        <v>0.00626822065305509</v>
      </c>
      <c r="J640" s="13" t="n">
        <v>0.268746769130888</v>
      </c>
      <c r="K640" s="13" t="n">
        <v>-0.655888672579661</v>
      </c>
    </row>
    <row r="641" customFormat="false" ht="15" hidden="false" customHeight="false" outlineLevel="0" collapsed="false">
      <c r="A641" s="12" t="n">
        <v>2016</v>
      </c>
      <c r="B641" s="12" t="n">
        <v>4</v>
      </c>
      <c r="C641" s="13" t="n">
        <v>1.7474</v>
      </c>
      <c r="D641" s="13" t="n">
        <v>2.22192281834872</v>
      </c>
      <c r="E641" s="13" t="n">
        <v>-0.474522818348718</v>
      </c>
      <c r="F641" s="13" t="n">
        <v>-0.142104176765444</v>
      </c>
      <c r="G641" s="13" t="n">
        <v>0.055004753013005</v>
      </c>
      <c r="H641" s="13" t="n">
        <v>-0.00154184726536856</v>
      </c>
      <c r="I641" s="13" t="n">
        <v>-0.0109924817446</v>
      </c>
      <c r="J641" s="13" t="n">
        <v>0.267841855594818</v>
      </c>
      <c r="K641" s="13" t="n">
        <v>-0.642730921181128</v>
      </c>
    </row>
    <row r="642" customFormat="false" ht="15" hidden="false" customHeight="false" outlineLevel="0" collapsed="false">
      <c r="A642" s="12" t="n">
        <v>2016</v>
      </c>
      <c r="B642" s="12" t="n">
        <v>5</v>
      </c>
      <c r="C642" s="13" t="n">
        <v>1.6596</v>
      </c>
      <c r="D642" s="13" t="n">
        <v>1.9649889608062</v>
      </c>
      <c r="E642" s="13" t="n">
        <v>-0.305388960806202</v>
      </c>
      <c r="F642" s="13" t="n">
        <v>0.113383889810653</v>
      </c>
      <c r="G642" s="13" t="n">
        <v>-0.0074845834670717</v>
      </c>
      <c r="H642" s="13" t="n">
        <v>-0.0310259968316495</v>
      </c>
      <c r="I642" s="13" t="n">
        <v>-0.027590717595549</v>
      </c>
      <c r="J642" s="13" t="n">
        <v>0.262048864665992</v>
      </c>
      <c r="K642" s="13" t="n">
        <v>-0.614720417388577</v>
      </c>
    </row>
    <row r="643" customFormat="false" ht="15" hidden="false" customHeight="false" outlineLevel="0" collapsed="false">
      <c r="A643" s="12" t="n">
        <v>2016</v>
      </c>
      <c r="B643" s="12" t="n">
        <v>6</v>
      </c>
      <c r="C643" s="13" t="n">
        <v>0.884266666666667</v>
      </c>
      <c r="D643" s="13" t="n">
        <v>1.3745611291738</v>
      </c>
      <c r="E643" s="13" t="n">
        <v>-0.49029446250713</v>
      </c>
      <c r="F643" s="13" t="n">
        <v>0.0077804843269389</v>
      </c>
      <c r="G643" s="13" t="n">
        <v>-0.0600830940661349</v>
      </c>
      <c r="H643" s="13" t="n">
        <v>-0.0550255360603749</v>
      </c>
      <c r="I643" s="13" t="n">
        <v>-0.0418587579155246</v>
      </c>
      <c r="J643" s="13" t="n">
        <v>0.251951956272402</v>
      </c>
      <c r="K643" s="13" t="n">
        <v>-0.593059515064436</v>
      </c>
    </row>
    <row r="644" customFormat="false" ht="15" hidden="false" customHeight="false" outlineLevel="0" collapsed="false">
      <c r="A644" s="12" t="n">
        <v>2016</v>
      </c>
      <c r="B644" s="12" t="n">
        <v>7</v>
      </c>
      <c r="C644" s="13" t="n">
        <v>0.428532258064516</v>
      </c>
      <c r="D644" s="13" t="n">
        <v>1.02645398240534</v>
      </c>
      <c r="E644" s="13" t="n">
        <v>-0.597921724340822</v>
      </c>
      <c r="F644" s="13" t="n">
        <v>-0.0541420725252664</v>
      </c>
      <c r="G644" s="13" t="n">
        <v>-0.0682017756375771</v>
      </c>
      <c r="H644" s="13" t="n">
        <v>-0.0697256161652148</v>
      </c>
      <c r="I644" s="13" t="n">
        <v>-0.0523361060672714</v>
      </c>
      <c r="J644" s="13" t="n">
        <v>0.238218518260572</v>
      </c>
      <c r="K644" s="13" t="n">
        <v>-0.591734672206064</v>
      </c>
    </row>
    <row r="645" customFormat="false" ht="15" hidden="false" customHeight="false" outlineLevel="0" collapsed="false">
      <c r="A645" s="12" t="n">
        <v>2016</v>
      </c>
      <c r="B645" s="12" t="n">
        <v>8</v>
      </c>
      <c r="C645" s="13" t="n">
        <v>0.670448387096774</v>
      </c>
      <c r="D645" s="13" t="n">
        <v>1.20491970623147</v>
      </c>
      <c r="E645" s="13" t="n">
        <v>-0.534471319134692</v>
      </c>
      <c r="F645" s="13" t="n">
        <v>0.0100092092929775</v>
      </c>
      <c r="G645" s="13" t="n">
        <v>-0.0296676544572959</v>
      </c>
      <c r="H645" s="13" t="n">
        <v>-0.0730464618477347</v>
      </c>
      <c r="I645" s="13" t="n">
        <v>-0.0579262930521911</v>
      </c>
      <c r="J645" s="13" t="n">
        <v>0.221556400553517</v>
      </c>
      <c r="K645" s="13" t="n">
        <v>-0.605396519623965</v>
      </c>
    </row>
    <row r="646" customFormat="false" ht="15" hidden="false" customHeight="false" outlineLevel="0" collapsed="false">
      <c r="A646" s="12" t="n">
        <v>2016</v>
      </c>
      <c r="B646" s="12" t="n">
        <v>9</v>
      </c>
      <c r="C646" s="13" t="n">
        <v>1.07457333333333</v>
      </c>
      <c r="D646" s="13" t="n">
        <v>1.60102896031825</v>
      </c>
      <c r="E646" s="13" t="n">
        <v>-0.526455626984919</v>
      </c>
      <c r="F646" s="13" t="n">
        <v>-0.0134703804667847</v>
      </c>
      <c r="G646" s="13" t="n">
        <v>0.0257849909567429</v>
      </c>
      <c r="H646" s="13" t="n">
        <v>-0.0649974904489158</v>
      </c>
      <c r="I646" s="13" t="n">
        <v>-0.0580165405332579</v>
      </c>
      <c r="J646" s="13" t="n">
        <v>0.202675606025151</v>
      </c>
      <c r="K646" s="13" t="n">
        <v>-0.618431812517854</v>
      </c>
    </row>
    <row r="647" customFormat="false" ht="15" hidden="false" customHeight="false" outlineLevel="0" collapsed="false">
      <c r="A647" s="12" t="n">
        <v>2016</v>
      </c>
      <c r="B647" s="12" t="n">
        <v>10</v>
      </c>
      <c r="C647" s="13" t="n">
        <v>1.44566451612903</v>
      </c>
      <c r="D647" s="13" t="n">
        <v>1.91856467117034</v>
      </c>
      <c r="E647" s="13" t="n">
        <v>-0.472900155041303</v>
      </c>
      <c r="F647" s="13" t="n">
        <v>0.0075219796285536</v>
      </c>
      <c r="G647" s="13" t="n">
        <v>0.0580961032372935</v>
      </c>
      <c r="H647" s="13" t="n">
        <v>-0.0476027320441373</v>
      </c>
      <c r="I647" s="13" t="n">
        <v>-0.0525467870384807</v>
      </c>
      <c r="J647" s="13" t="n">
        <v>0.182257267943119</v>
      </c>
      <c r="K647" s="13" t="n">
        <v>-0.620625986767651</v>
      </c>
    </row>
    <row r="648" customFormat="false" ht="15" hidden="false" customHeight="false" outlineLevel="0" collapsed="false">
      <c r="A648" s="12" t="n">
        <v>2016</v>
      </c>
      <c r="B648" s="12" t="n">
        <v>11</v>
      </c>
      <c r="C648" s="13" t="n">
        <v>1.53313</v>
      </c>
      <c r="D648" s="13" t="n">
        <v>1.96060433564812</v>
      </c>
      <c r="E648" s="13" t="n">
        <v>-0.427474335648118</v>
      </c>
      <c r="F648" s="13" t="n">
        <v>0.0463866941049626</v>
      </c>
      <c r="G648" s="13" t="n">
        <v>0.0447606002291874</v>
      </c>
      <c r="H648" s="13" t="n">
        <v>-0.0244164063334087</v>
      </c>
      <c r="I648" s="13" t="n">
        <v>-0.0420201414577683</v>
      </c>
      <c r="J648" s="13" t="n">
        <v>0.160931627942438</v>
      </c>
      <c r="K648" s="13" t="n">
        <v>-0.613116710133528</v>
      </c>
    </row>
    <row r="649" customFormat="false" ht="15" hidden="false" customHeight="false" outlineLevel="0" collapsed="false">
      <c r="A649" s="12" t="n">
        <v>2016</v>
      </c>
      <c r="B649" s="12" t="n">
        <v>12</v>
      </c>
      <c r="C649" s="13" t="n">
        <v>1.26216774193548</v>
      </c>
      <c r="D649" s="13" t="n">
        <v>1.77819158539807</v>
      </c>
      <c r="E649" s="13" t="n">
        <v>-0.516023843462581</v>
      </c>
      <c r="F649" s="13" t="n">
        <v>-0.0210531923345679</v>
      </c>
      <c r="G649" s="13" t="n">
        <v>-0.003561898827092</v>
      </c>
      <c r="H649" s="13" t="n">
        <v>0.000259262140625619</v>
      </c>
      <c r="I649" s="13" t="n">
        <v>-0.0274533223862755</v>
      </c>
      <c r="J649" s="13" t="n">
        <v>0.139265518280248</v>
      </c>
      <c r="K649" s="13" t="n">
        <v>-0.60348021033552</v>
      </c>
    </row>
    <row r="650" customFormat="false" ht="15" hidden="false" customHeight="false" outlineLevel="0" collapsed="false">
      <c r="A650" s="12" t="n">
        <v>2017</v>
      </c>
      <c r="B650" s="12" t="n">
        <v>1</v>
      </c>
      <c r="C650" s="13" t="n">
        <v>1.1900935483871</v>
      </c>
      <c r="D650" s="13" t="n">
        <v>1.72487413550511</v>
      </c>
      <c r="E650" s="13" t="n">
        <v>-0.534780587118011</v>
      </c>
      <c r="F650" s="13" t="n">
        <v>-0.0152449548672635</v>
      </c>
      <c r="G650" s="13" t="n">
        <v>-0.0505051579031265</v>
      </c>
      <c r="H650" s="13" t="n">
        <v>0.0222739772132998</v>
      </c>
      <c r="I650" s="13" t="n">
        <v>-0.0102723157279254</v>
      </c>
      <c r="J650" s="13" t="n">
        <v>0.117758752041262</v>
      </c>
      <c r="K650" s="13" t="n">
        <v>-0.598790887874257</v>
      </c>
    </row>
    <row r="651" customFormat="false" ht="15" hidden="false" customHeight="false" outlineLevel="0" collapsed="false">
      <c r="A651" s="12" t="n">
        <v>2017</v>
      </c>
      <c r="B651" s="12" t="n">
        <v>2</v>
      </c>
      <c r="C651" s="13" t="n">
        <v>1.32584285714286</v>
      </c>
      <c r="D651" s="13" t="n">
        <v>1.85530950018313</v>
      </c>
      <c r="E651" s="13" t="n">
        <v>-0.529466643040276</v>
      </c>
      <c r="F651" s="13" t="n">
        <v>-0.0103651125214965</v>
      </c>
      <c r="G651" s="13" t="n">
        <v>-0.0599494292490511</v>
      </c>
      <c r="H651" s="13" t="n">
        <v>0.0384415626218287</v>
      </c>
      <c r="I651" s="13" t="n">
        <v>0.00783543100452312</v>
      </c>
      <c r="J651" s="13" t="n">
        <v>0.0968479449406777</v>
      </c>
      <c r="K651" s="13" t="n">
        <v>-0.602277039836757</v>
      </c>
    </row>
    <row r="652" customFormat="false" ht="15" hidden="false" customHeight="false" outlineLevel="0" collapsed="false">
      <c r="A652" s="12" t="n">
        <v>2017</v>
      </c>
      <c r="B652" s="12" t="n">
        <v>3</v>
      </c>
      <c r="C652" s="13" t="n">
        <v>1.49904838709677</v>
      </c>
      <c r="D652" s="13" t="n">
        <v>1.98524674000813</v>
      </c>
      <c r="E652" s="13" t="n">
        <v>-0.486198352911356</v>
      </c>
      <c r="F652" s="13" t="n">
        <v>-0.000281238321181719</v>
      </c>
      <c r="G652" s="13" t="n">
        <v>-0.0225814297899193</v>
      </c>
      <c r="H652" s="13" t="n">
        <v>0.0470828942642583</v>
      </c>
      <c r="I652" s="13" t="n">
        <v>0.0250961588394052</v>
      </c>
      <c r="J652" s="13" t="n">
        <v>0.0769156458675419</v>
      </c>
      <c r="K652" s="13" t="n">
        <v>-0.612430383771461</v>
      </c>
    </row>
    <row r="653" customFormat="false" ht="15" hidden="false" customHeight="false" outlineLevel="0" collapsed="false">
      <c r="A653" s="12" t="n">
        <v>2017</v>
      </c>
      <c r="B653" s="12" t="n">
        <v>4</v>
      </c>
      <c r="C653" s="13" t="n">
        <v>1.62960666666667</v>
      </c>
      <c r="D653" s="13" t="n">
        <v>2.03931758315063</v>
      </c>
      <c r="E653" s="13" t="n">
        <v>-0.409710916483963</v>
      </c>
      <c r="F653" s="13" t="n">
        <v>0.0311294487093521</v>
      </c>
      <c r="G653" s="13" t="n">
        <v>0.0362914933905647</v>
      </c>
      <c r="H653" s="13" t="n">
        <v>0.048186252101835</v>
      </c>
      <c r="I653" s="13" t="n">
        <v>0.0398332047737824</v>
      </c>
      <c r="J653" s="13" t="n">
        <v>0.0583022264109511</v>
      </c>
      <c r="K653" s="13" t="n">
        <v>-0.623453541870449</v>
      </c>
    </row>
    <row r="654" customFormat="false" ht="15" hidden="false" customHeight="false" outlineLevel="0" collapsed="false">
      <c r="A654" s="12" t="n">
        <v>2017</v>
      </c>
      <c r="B654" s="12" t="n">
        <v>5</v>
      </c>
      <c r="C654" s="13" t="n">
        <v>1.32358064516129</v>
      </c>
      <c r="D654" s="13" t="n">
        <v>1.77836470534424</v>
      </c>
      <c r="E654" s="13" t="n">
        <v>-0.454784060182946</v>
      </c>
      <c r="F654" s="13" t="n">
        <v>-0.0351681232851039</v>
      </c>
      <c r="G654" s="13" t="n">
        <v>0.0742851916064968</v>
      </c>
      <c r="H654" s="13" t="n">
        <v>0.0431677425185698</v>
      </c>
      <c r="I654" s="13" t="n">
        <v>0.0506387747769657</v>
      </c>
      <c r="J654" s="13" t="n">
        <v>0.0413178007908257</v>
      </c>
      <c r="K654" s="13" t="n">
        <v>-0.629025446590701</v>
      </c>
    </row>
    <row r="655" customFormat="false" ht="15" hidden="false" customHeight="false" outlineLevel="0" collapsed="false">
      <c r="A655" s="12" t="n">
        <v>2017</v>
      </c>
      <c r="B655" s="12" t="n">
        <v>6</v>
      </c>
      <c r="C655" s="13" t="n">
        <v>0.71941</v>
      </c>
      <c r="D655" s="13" t="n">
        <v>1.18412850498389</v>
      </c>
      <c r="E655" s="13" t="n">
        <v>-0.464718504983886</v>
      </c>
      <c r="F655" s="13" t="n">
        <v>-0.0165744126781137</v>
      </c>
      <c r="G655" s="13" t="n">
        <v>0.0628019812592359</v>
      </c>
      <c r="H655" s="13" t="n">
        <v>0.0343143696629589</v>
      </c>
      <c r="I655" s="13" t="n">
        <v>0.0565156289547036</v>
      </c>
      <c r="J655" s="13" t="n">
        <v>0.0262515863278851</v>
      </c>
      <c r="K655" s="13" t="n">
        <v>-0.628027658510556</v>
      </c>
    </row>
    <row r="656" customFormat="false" ht="15" hidden="false" customHeight="false" outlineLevel="0" collapsed="false">
      <c r="A656" s="12" t="n">
        <v>2017</v>
      </c>
      <c r="B656" s="12" t="n">
        <v>7</v>
      </c>
      <c r="C656" s="13" t="n">
        <v>0.418241935483871</v>
      </c>
      <c r="D656" s="13" t="n">
        <v>0.832435683952747</v>
      </c>
      <c r="E656" s="13" t="n">
        <v>-0.414193748468876</v>
      </c>
      <c r="F656" s="13" t="n">
        <v>0.10828830846473</v>
      </c>
      <c r="G656" s="13" t="n">
        <v>0.00845785761651181</v>
      </c>
      <c r="H656" s="13" t="n">
        <v>0.0240708516574976</v>
      </c>
      <c r="I656" s="13" t="n">
        <v>0.0569737251154287</v>
      </c>
      <c r="J656" s="13" t="n">
        <v>0.0133766121483893</v>
      </c>
      <c r="K656" s="13" t="n">
        <v>-0.625361103471433</v>
      </c>
    </row>
    <row r="657" customFormat="false" ht="15" hidden="false" customHeight="false" outlineLevel="0" collapsed="false">
      <c r="A657" s="12" t="n">
        <v>2017</v>
      </c>
      <c r="B657" s="12" t="n">
        <v>8</v>
      </c>
      <c r="C657" s="13" t="n">
        <v>0.338467741935484</v>
      </c>
      <c r="D657" s="13" t="n">
        <v>1.00755006684122</v>
      </c>
      <c r="E657" s="13" t="n">
        <v>-0.669082324905739</v>
      </c>
      <c r="F657" s="13" t="n">
        <v>-0.0610211490288766</v>
      </c>
      <c r="G657" s="13" t="n">
        <v>-0.0514603688153349</v>
      </c>
      <c r="H657" s="13" t="n">
        <v>0.0143679000773954</v>
      </c>
      <c r="I657" s="13" t="n">
        <v>0.0520720091923888</v>
      </c>
      <c r="J657" s="13" t="n">
        <v>0.00294849608783728</v>
      </c>
      <c r="K657" s="13" t="n">
        <v>-0.625989212419149</v>
      </c>
    </row>
    <row r="658" customFormat="false" ht="15" hidden="false" customHeight="false" outlineLevel="0" collapsed="false">
      <c r="A658" s="12" t="n">
        <v>2017</v>
      </c>
      <c r="B658" s="12" t="n">
        <v>9</v>
      </c>
      <c r="C658" s="13" t="n">
        <v>0.6952</v>
      </c>
      <c r="D658" s="13" t="n">
        <v>1.40055351105746</v>
      </c>
      <c r="E658" s="13" t="n">
        <v>-0.705353511057456</v>
      </c>
      <c r="F658" s="13" t="n">
        <v>-0.0419993558410518</v>
      </c>
      <c r="G658" s="13" t="n">
        <v>-0.0765168726151288</v>
      </c>
      <c r="H658" s="13" t="n">
        <v>0.00617424739030926</v>
      </c>
      <c r="I658" s="13" t="n">
        <v>0.04240172068428</v>
      </c>
      <c r="J658" s="13" t="n">
        <v>-0.00480199038305937</v>
      </c>
      <c r="K658" s="13" t="n">
        <v>-0.630611260292805</v>
      </c>
    </row>
    <row r="659" customFormat="false" ht="15" hidden="false" customHeight="false" outlineLevel="0" collapsed="false">
      <c r="A659" s="12" t="n">
        <v>2017</v>
      </c>
      <c r="B659" s="12" t="n">
        <v>10</v>
      </c>
      <c r="C659" s="13" t="n">
        <v>1.0116935483871</v>
      </c>
      <c r="D659" s="13" t="n">
        <v>1.71523966383317</v>
      </c>
      <c r="E659" s="13" t="n">
        <v>-0.703546115446073</v>
      </c>
      <c r="F659" s="13" t="n">
        <v>-0.0315221828995328</v>
      </c>
      <c r="G659" s="13" t="n">
        <v>-0.0526030673331529</v>
      </c>
      <c r="H659" s="13" t="n">
        <v>-0.000609618415190971</v>
      </c>
      <c r="I659" s="13" t="n">
        <v>0.029014079967087</v>
      </c>
      <c r="J659" s="13" t="n">
        <v>-0.00968184353608161</v>
      </c>
      <c r="K659" s="13" t="n">
        <v>-0.638143483229202</v>
      </c>
    </row>
    <row r="660" customFormat="false" ht="15" hidden="false" customHeight="false" outlineLevel="0" collapsed="false">
      <c r="A660" s="12" t="n">
        <v>2017</v>
      </c>
      <c r="B660" s="12" t="n">
        <v>11</v>
      </c>
      <c r="C660" s="13" t="n">
        <v>1.16148</v>
      </c>
      <c r="D660" s="13" t="n">
        <v>1.75469623109648</v>
      </c>
      <c r="E660" s="13" t="n">
        <v>-0.593216231096481</v>
      </c>
      <c r="F660" s="13" t="n">
        <v>0.0604050130856188</v>
      </c>
      <c r="G660" s="13" t="n">
        <v>-0.000664571125911268</v>
      </c>
      <c r="H660" s="13" t="n">
        <v>-0.0068951167410573</v>
      </c>
      <c r="I660" s="13" t="n">
        <v>0.0133012955744909</v>
      </c>
      <c r="J660" s="13" t="n">
        <v>-0.0115526944793595</v>
      </c>
      <c r="K660" s="13" t="n">
        <v>-0.647810157410263</v>
      </c>
    </row>
    <row r="661" customFormat="false" ht="15" hidden="false" customHeight="false" outlineLevel="0" collapsed="false">
      <c r="A661" s="12" t="n">
        <v>2017</v>
      </c>
      <c r="B661" s="12" t="n">
        <v>12</v>
      </c>
      <c r="C661" s="13" t="n">
        <v>1.04805483870968</v>
      </c>
      <c r="D661" s="13" t="n">
        <v>1.56997650866952</v>
      </c>
      <c r="E661" s="13" t="n">
        <v>-0.521921669959838</v>
      </c>
      <c r="F661" s="13" t="n">
        <v>0.12014705380661</v>
      </c>
      <c r="G661" s="13" t="n">
        <v>0.0413099536881345</v>
      </c>
      <c r="H661" s="13" t="n">
        <v>-0.0138701478486629</v>
      </c>
      <c r="I661" s="13" t="n">
        <v>-0.00315521303143651</v>
      </c>
      <c r="J661" s="13" t="n">
        <v>-0.0103495829805274</v>
      </c>
      <c r="K661" s="13" t="n">
        <v>-0.656003733593955</v>
      </c>
    </row>
    <row r="662" customFormat="false" ht="15" hidden="false" customHeight="false" outlineLevel="0" collapsed="false">
      <c r="A662" s="12" t="n">
        <v>2018</v>
      </c>
      <c r="B662" s="12" t="n">
        <v>1</v>
      </c>
      <c r="C662" s="13" t="n">
        <v>0.633545161290323</v>
      </c>
      <c r="D662" s="13" t="n">
        <v>1.51463729915652</v>
      </c>
      <c r="E662" s="13" t="n">
        <v>-0.881092137866199</v>
      </c>
      <c r="F662" s="13" t="n">
        <v>-0.224977914051875</v>
      </c>
      <c r="G662" s="13" t="n">
        <v>0.0476524944986851</v>
      </c>
      <c r="H662" s="13" t="n">
        <v>-0.0223515793885877</v>
      </c>
      <c r="I662" s="13" t="n">
        <v>-0.0187521846443108</v>
      </c>
      <c r="J662" s="13" t="n">
        <v>-0.00609939196140609</v>
      </c>
      <c r="K662" s="13" t="n">
        <v>-0.656563562318704</v>
      </c>
    </row>
    <row r="663" customFormat="false" ht="15" hidden="false" customHeight="false" outlineLevel="0" collapsed="false">
      <c r="A663" s="12" t="n">
        <v>2018</v>
      </c>
      <c r="B663" s="12" t="n">
        <v>2</v>
      </c>
      <c r="C663" s="13" t="n">
        <v>1.07906785714286</v>
      </c>
      <c r="D663" s="13" t="n">
        <v>1.64334459746204</v>
      </c>
      <c r="E663" s="13" t="n">
        <v>-0.564276740319178</v>
      </c>
      <c r="F663" s="13" t="n">
        <v>0.125912270056236</v>
      </c>
      <c r="G663" s="13" t="n">
        <v>0.0222528534456191</v>
      </c>
      <c r="H663" s="13" t="n">
        <v>-0.0322315655467244</v>
      </c>
      <c r="I663" s="13" t="n">
        <v>-0.03202899306977</v>
      </c>
      <c r="J663" s="13" t="n">
        <v>0.00106333563149641</v>
      </c>
      <c r="K663" s="13" t="n">
        <v>-0.649244640836035</v>
      </c>
    </row>
    <row r="664" customFormat="false" ht="15" hidden="false" customHeight="false" outlineLevel="0" collapsed="false">
      <c r="A664" s="12" t="n">
        <v>2018</v>
      </c>
      <c r="B664" s="12" t="n">
        <v>3</v>
      </c>
      <c r="C664" s="13" t="n">
        <v>1.03745161290323</v>
      </c>
      <c r="D664" s="13" t="n">
        <v>1.77185530954523</v>
      </c>
      <c r="E664" s="13" t="n">
        <v>-0.734403696641999</v>
      </c>
      <c r="F664" s="13" t="n">
        <v>-0.00911551064762176</v>
      </c>
      <c r="G664" s="13" t="n">
        <v>-0.00852544063325589</v>
      </c>
      <c r="H664" s="13" t="n">
        <v>-0.0422055191292193</v>
      </c>
      <c r="I664" s="13" t="n">
        <v>-0.0418115664611326</v>
      </c>
      <c r="J664" s="13" t="n">
        <v>0.0108853854680697</v>
      </c>
      <c r="K664" s="13" t="n">
        <v>-0.643631045238839</v>
      </c>
    </row>
    <row r="665" customFormat="false" ht="15" hidden="false" customHeight="false" outlineLevel="0" collapsed="false">
      <c r="A665" s="12" t="n">
        <v>2018</v>
      </c>
      <c r="B665" s="12" t="n">
        <v>4</v>
      </c>
      <c r="C665" s="13" t="n">
        <v>1.08530666666667</v>
      </c>
      <c r="D665" s="13" t="n">
        <v>1.8248083469466</v>
      </c>
      <c r="E665" s="13" t="n">
        <v>-0.739501680279931</v>
      </c>
      <c r="F665" s="13" t="n">
        <v>0.00307215381845724</v>
      </c>
      <c r="G665" s="13" t="n">
        <v>-0.0193253811148961</v>
      </c>
      <c r="H665" s="13" t="n">
        <v>-0.0498970184828941</v>
      </c>
      <c r="I665" s="13" t="n">
        <v>-0.0473208737365703</v>
      </c>
      <c r="J665" s="13" t="n">
        <v>0.0229905894535466</v>
      </c>
      <c r="K665" s="13" t="n">
        <v>-0.649021150217574</v>
      </c>
    </row>
    <row r="666" customFormat="false" ht="15" hidden="false" customHeight="false" outlineLevel="0" collapsed="false">
      <c r="A666" s="12" t="n">
        <v>2018</v>
      </c>
      <c r="B666" s="12" t="n">
        <v>5</v>
      </c>
      <c r="C666" s="13" t="n">
        <v>0.808461290322581</v>
      </c>
      <c r="D666" s="13" t="n">
        <v>1.56305288190883</v>
      </c>
      <c r="E666" s="13" t="n">
        <v>-0.754591591586252</v>
      </c>
      <c r="F666" s="13" t="n">
        <v>-0.0220095358237575</v>
      </c>
      <c r="G666" s="13" t="n">
        <v>-0.00561399602144309</v>
      </c>
      <c r="H666" s="13" t="n">
        <v>-0.0523854216359691</v>
      </c>
      <c r="I666" s="13" t="n">
        <v>-0.0482354948885256</v>
      </c>
      <c r="J666" s="13" t="n">
        <v>0.0368837134092501</v>
      </c>
      <c r="K666" s="13" t="n">
        <v>-0.663230856625807</v>
      </c>
    </row>
    <row r="667" customFormat="false" ht="15" hidden="false" customHeight="false" outlineLevel="0" collapsed="false">
      <c r="A667" s="12" t="n">
        <v>2018</v>
      </c>
      <c r="B667" s="12" t="n">
        <v>6</v>
      </c>
      <c r="C667" s="13" t="n">
        <v>0.227606666666667</v>
      </c>
      <c r="D667" s="13" t="n">
        <v>0.968335099586997</v>
      </c>
      <c r="E667" s="13" t="n">
        <v>-0.74072843292033</v>
      </c>
      <c r="F667" s="13" t="n">
        <v>-0.0402840119750689</v>
      </c>
      <c r="G667" s="13" t="n">
        <v>0.0155174187830781</v>
      </c>
      <c r="H667" s="13" t="n">
        <v>-0.0470237384778231</v>
      </c>
      <c r="I667" s="13" t="n">
        <v>-0.0447032411488111</v>
      </c>
      <c r="J667" s="13" t="n">
        <v>0.0519632806029362</v>
      </c>
      <c r="K667" s="13" t="n">
        <v>-0.676198140704641</v>
      </c>
    </row>
    <row r="668" customFormat="false" ht="15" hidden="false" customHeight="false" outlineLevel="0" collapsed="false">
      <c r="A668" s="12" t="n">
        <v>2018</v>
      </c>
      <c r="B668" s="12" t="n">
        <v>7</v>
      </c>
      <c r="C668" s="13" t="n">
        <v>0.0137741935483871</v>
      </c>
      <c r="D668" s="13" t="n">
        <v>0.616486757986285</v>
      </c>
      <c r="E668" s="13" t="n">
        <v>-0.602712564437898</v>
      </c>
      <c r="F668" s="13" t="n">
        <v>0.0595349072795024</v>
      </c>
      <c r="G668" s="13" t="n">
        <v>0.0223727024114216</v>
      </c>
      <c r="H668" s="13" t="n">
        <v>-0.0323393372108012</v>
      </c>
      <c r="I668" s="13" t="n">
        <v>-0.037302640380017</v>
      </c>
      <c r="J668" s="13" t="n">
        <v>0.0675432767975305</v>
      </c>
      <c r="K668" s="13" t="n">
        <v>-0.682521473335534</v>
      </c>
    </row>
    <row r="669" customFormat="false" ht="15" hidden="false" customHeight="false" outlineLevel="0" collapsed="false">
      <c r="A669" s="12" t="n">
        <v>2018</v>
      </c>
      <c r="B669" s="12" t="n">
        <v>8</v>
      </c>
      <c r="C669" s="13" t="n">
        <v>0.205787096774194</v>
      </c>
      <c r="D669" s="13" t="n">
        <v>0.791775988389966</v>
      </c>
      <c r="E669" s="13" t="n">
        <v>-0.585988891615773</v>
      </c>
      <c r="F669" s="13" t="n">
        <v>0.0452271280953908</v>
      </c>
      <c r="G669" s="13" t="n">
        <v>0.00775895373024694</v>
      </c>
      <c r="H669" s="13" t="n">
        <v>-0.00876563213596024</v>
      </c>
      <c r="I669" s="13" t="n">
        <v>-0.0269606654891891</v>
      </c>
      <c r="J669" s="13" t="n">
        <v>0.0828827792812189</v>
      </c>
      <c r="K669" s="13" t="n">
        <v>-0.68613145509748</v>
      </c>
    </row>
    <row r="670" customFormat="false" ht="15" hidden="false" customHeight="false" outlineLevel="0" collapsed="false">
      <c r="A670" s="12" t="n">
        <v>2018</v>
      </c>
      <c r="B670" s="12" t="n">
        <v>9</v>
      </c>
      <c r="C670" s="13" t="n">
        <v>0.49072</v>
      </c>
      <c r="D670" s="13" t="n">
        <v>1.1852881888297</v>
      </c>
      <c r="E670" s="13" t="n">
        <v>-0.6945681888297</v>
      </c>
      <c r="F670" s="13" t="n">
        <v>-0.0878839966603213</v>
      </c>
      <c r="G670" s="13" t="n">
        <v>-0.0162349258627857</v>
      </c>
      <c r="H670" s="13" t="n">
        <v>0.021025821613986</v>
      </c>
      <c r="I670" s="13" t="n">
        <v>-0.0148377232854142</v>
      </c>
      <c r="J670" s="13" t="n">
        <v>0.0972216832407502</v>
      </c>
      <c r="K670" s="13" t="n">
        <v>-0.693859047875915</v>
      </c>
    </row>
    <row r="671" customFormat="false" ht="15" hidden="false" customHeight="false" outlineLevel="0" collapsed="false">
      <c r="A671" s="12" t="n">
        <v>2018</v>
      </c>
      <c r="B671" s="12" t="n">
        <v>10</v>
      </c>
      <c r="C671" s="13" t="n">
        <v>0.930951612903226</v>
      </c>
      <c r="D671" s="13" t="n">
        <v>1.50081976663681</v>
      </c>
      <c r="E671" s="13" t="n">
        <v>-0.569868153733584</v>
      </c>
      <c r="F671" s="13" t="n">
        <v>0.00903800168226012</v>
      </c>
      <c r="G671" s="13" t="n">
        <v>-0.0307654255065383</v>
      </c>
      <c r="H671" s="13" t="n">
        <v>0.0523379383361862</v>
      </c>
      <c r="I671" s="13" t="n">
        <v>-0.00219412799434858</v>
      </c>
      <c r="J671" s="13" t="n">
        <v>0.109820008804344</v>
      </c>
      <c r="K671" s="13" t="n">
        <v>-0.708104549055487</v>
      </c>
    </row>
    <row r="672" customFormat="false" ht="15" hidden="false" customHeight="false" outlineLevel="0" collapsed="false">
      <c r="A672" s="12" t="n">
        <v>2018</v>
      </c>
      <c r="B672" s="12" t="n">
        <v>11</v>
      </c>
      <c r="C672" s="13" t="n">
        <v>1.05638</v>
      </c>
      <c r="D672" s="13" t="n">
        <v>1.54146039514005</v>
      </c>
      <c r="E672" s="13" t="n">
        <v>-0.485080395140054</v>
      </c>
      <c r="F672" s="13" t="n">
        <v>0.0589867947270991</v>
      </c>
      <c r="G672" s="13" t="n">
        <v>-0.0274573586329035</v>
      </c>
      <c r="H672" s="13" t="n">
        <v>0.0792194300435133</v>
      </c>
      <c r="I672" s="13" t="n">
        <v>0.00974626884849346</v>
      </c>
      <c r="J672" s="13" t="n">
        <v>0.119997846865867</v>
      </c>
      <c r="K672" s="13" t="n">
        <v>-0.725573376992123</v>
      </c>
    </row>
    <row r="673" customFormat="false" ht="15" hidden="false" customHeight="false" outlineLevel="0" collapsed="false">
      <c r="A673" s="12" t="n">
        <v>2018</v>
      </c>
      <c r="B673" s="12" t="n">
        <v>12</v>
      </c>
      <c r="C673" s="13" t="n">
        <v>0.771577419354839</v>
      </c>
      <c r="D673" s="13" t="n">
        <v>1.3582645349487</v>
      </c>
      <c r="E673" s="13" t="n">
        <v>-0.58668711559386</v>
      </c>
      <c r="F673" s="13" t="n">
        <v>-0.0742888928550445</v>
      </c>
      <c r="G673" s="13" t="n">
        <v>-0.014102234174925</v>
      </c>
      <c r="H673" s="13" t="n">
        <v>0.0956636399697592</v>
      </c>
      <c r="I673" s="13" t="n">
        <v>0.0199200406438667</v>
      </c>
      <c r="J673" s="13" t="n">
        <v>0.127172850289175</v>
      </c>
      <c r="K673" s="13" t="n">
        <v>-0.741052519466691</v>
      </c>
    </row>
    <row r="674" customFormat="false" ht="15" hidden="false" customHeight="false" outlineLevel="0" collapsed="false">
      <c r="A674" s="12" t="n">
        <v>2019</v>
      </c>
      <c r="B674" s="12" t="n">
        <v>1</v>
      </c>
      <c r="C674" s="13" t="n">
        <v>0.812454838709677</v>
      </c>
      <c r="D674" s="13" t="n">
        <v>1.30478934327693</v>
      </c>
      <c r="E674" s="13" t="n">
        <v>-0.492334504567256</v>
      </c>
      <c r="F674" s="13" t="n">
        <v>0.00890211755473139</v>
      </c>
      <c r="G674" s="13" t="n">
        <v>-0.00422054185265758</v>
      </c>
      <c r="H674" s="13" t="n">
        <v>0.0969812222528074</v>
      </c>
      <c r="I674" s="13" t="n">
        <v>0.0275226598657195</v>
      </c>
      <c r="J674" s="13" t="n">
        <v>0.13089229830225</v>
      </c>
      <c r="K674" s="13" t="n">
        <v>-0.752412260690106</v>
      </c>
    </row>
    <row r="675" customFormat="false" ht="15" hidden="false" customHeight="false" outlineLevel="0" collapsed="false">
      <c r="A675" s="12" t="n">
        <v>2019</v>
      </c>
      <c r="B675" s="12" t="n">
        <v>2</v>
      </c>
      <c r="C675" s="13" t="n">
        <v>1.00573214285714</v>
      </c>
      <c r="D675" s="13" t="n">
        <v>1.43570035424386</v>
      </c>
      <c r="E675" s="13" t="n">
        <v>-0.429968211386714</v>
      </c>
      <c r="F675" s="13" t="n">
        <v>0.0897516565783805</v>
      </c>
      <c r="G675" s="13" t="n">
        <v>-0.00169265215803403</v>
      </c>
      <c r="H675" s="13" t="n">
        <v>0.0810263482679994</v>
      </c>
      <c r="I675" s="13" t="n">
        <v>0.0320720042119819</v>
      </c>
      <c r="J675" s="13" t="n">
        <v>0.130857172745896</v>
      </c>
      <c r="K675" s="13" t="n">
        <v>-0.761982741032937</v>
      </c>
    </row>
    <row r="676" customFormat="false" ht="15" hidden="false" customHeight="false" outlineLevel="0" collapsed="false">
      <c r="A676" s="12" t="n">
        <v>2019</v>
      </c>
      <c r="B676" s="12" t="n">
        <v>3</v>
      </c>
      <c r="C676" s="13" t="n">
        <v>0.958132258064516</v>
      </c>
      <c r="D676" s="13" t="n">
        <v>1.56675319478267</v>
      </c>
      <c r="E676" s="13" t="n">
        <v>-0.608620936718158</v>
      </c>
      <c r="F676" s="13" t="n">
        <v>-0.0488475391956136</v>
      </c>
      <c r="G676" s="13" t="n">
        <v>0.00342872572881955</v>
      </c>
      <c r="H676" s="13" t="n">
        <v>0.0489656424166759</v>
      </c>
      <c r="I676" s="13" t="n">
        <v>0.0334319618875549</v>
      </c>
      <c r="J676" s="13" t="n">
        <v>0.126936376161643</v>
      </c>
      <c r="K676" s="13" t="n">
        <v>-0.772536103717237</v>
      </c>
    </row>
    <row r="677" customFormat="false" ht="15" hidden="false" customHeight="false" outlineLevel="0" collapsed="false">
      <c r="A677" s="12" t="n">
        <v>2019</v>
      </c>
      <c r="B677" s="12" t="n">
        <v>4</v>
      </c>
      <c r="C677" s="13" t="n">
        <v>0.978143333333333</v>
      </c>
      <c r="D677" s="13" t="n">
        <v>1.62258467870472</v>
      </c>
      <c r="E677" s="13" t="n">
        <v>-0.644441345371383</v>
      </c>
      <c r="F677" s="13" t="n">
        <v>-0.0398344278793394</v>
      </c>
      <c r="G677" s="13" t="n">
        <v>0.0228011820512341</v>
      </c>
      <c r="H677" s="13" t="n">
        <v>0.005366733405469</v>
      </c>
      <c r="I677" s="13" t="n">
        <v>0.0317961165145928</v>
      </c>
      <c r="J677" s="13" t="n">
        <v>0.119170135015835</v>
      </c>
      <c r="K677" s="13" t="n">
        <v>-0.783741084479175</v>
      </c>
    </row>
    <row r="678" customFormat="false" ht="15" hidden="false" customHeight="false" outlineLevel="0" collapsed="false">
      <c r="A678" s="12" t="n">
        <v>2019</v>
      </c>
      <c r="B678" s="12" t="n">
        <v>5</v>
      </c>
      <c r="C678" s="13" t="n">
        <v>0.699596774193548</v>
      </c>
      <c r="D678" s="13" t="n">
        <v>1.36404106375932</v>
      </c>
      <c r="E678" s="13" t="n">
        <v>-0.664444289565776</v>
      </c>
      <c r="F678" s="13" t="n">
        <v>-0.0160741795217839</v>
      </c>
      <c r="G678" s="13" t="n">
        <v>0.0529526084117476</v>
      </c>
      <c r="H678" s="13" t="n">
        <v>-0.0424685822103051</v>
      </c>
      <c r="I678" s="13" t="n">
        <v>0.0276361673091076</v>
      </c>
      <c r="J678" s="13" t="n">
        <v>0.10776266436671</v>
      </c>
      <c r="K678" s="13" t="n">
        <v>-0.794252967921252</v>
      </c>
    </row>
    <row r="679" customFormat="false" ht="15" hidden="false" customHeight="false" outlineLevel="0" collapsed="false">
      <c r="A679" s="12" t="n">
        <v>2019</v>
      </c>
      <c r="B679" s="12" t="n">
        <v>6</v>
      </c>
      <c r="C679" s="13" t="n">
        <v>0.152933333333333</v>
      </c>
      <c r="D679" s="13" t="n">
        <v>0.772864808163517</v>
      </c>
      <c r="E679" s="13" t="n">
        <v>-0.619931474830183</v>
      </c>
      <c r="F679" s="13" t="n">
        <v>0.0847939475982445</v>
      </c>
      <c r="G679" s="13" t="n">
        <v>0.0714773258994029</v>
      </c>
      <c r="H679" s="13" t="n">
        <v>-0.0858267627601742</v>
      </c>
      <c r="I679" s="13" t="n">
        <v>0.021623622602949</v>
      </c>
      <c r="J679" s="13" t="n">
        <v>0.0930651763985878</v>
      </c>
      <c r="K679" s="13" t="n">
        <v>-0.805064784569193</v>
      </c>
    </row>
    <row r="680" customFormat="false" ht="15" hidden="false" customHeight="false" outlineLevel="0" collapsed="false">
      <c r="A680" s="12" t="n">
        <v>2019</v>
      </c>
      <c r="B680" s="12" t="n">
        <v>7</v>
      </c>
      <c r="C680" s="13" t="n">
        <v>-0.450506451612903</v>
      </c>
      <c r="D680" s="13" t="n">
        <v>0.424883137231175</v>
      </c>
      <c r="E680" s="13" t="n">
        <v>-0.875389588844079</v>
      </c>
      <c r="F680" s="13" t="n">
        <v>-0.0838421614630734</v>
      </c>
      <c r="G680" s="13" t="n">
        <v>0.0528977774301316</v>
      </c>
      <c r="H680" s="13" t="n">
        <v>-0.116301020603201</v>
      </c>
      <c r="I680" s="13" t="n">
        <v>0.014535956713449</v>
      </c>
      <c r="J680" s="13" t="n">
        <v>0.0755511480289528</v>
      </c>
      <c r="K680" s="13" t="n">
        <v>-0.818231288950338</v>
      </c>
    </row>
    <row r="681" customFormat="false" ht="15" hidden="false" customHeight="false" outlineLevel="0" collapsed="false">
      <c r="A681" s="12" t="n">
        <v>2019</v>
      </c>
      <c r="B681" s="12" t="n">
        <v>8</v>
      </c>
      <c r="C681" s="13" t="n">
        <v>-0.22631935483871</v>
      </c>
      <c r="D681" s="13" t="n">
        <v>0.604358852879707</v>
      </c>
      <c r="E681" s="13" t="n">
        <v>-0.830678207718416</v>
      </c>
      <c r="F681" s="13" t="n">
        <v>0.0746492837465544</v>
      </c>
      <c r="G681" s="13" t="n">
        <v>-0.00775823479520219</v>
      </c>
      <c r="H681" s="13" t="n">
        <v>-0.12754136724833</v>
      </c>
      <c r="I681" s="13" t="n">
        <v>0.007159570842275</v>
      </c>
      <c r="J681" s="13" t="n">
        <v>0.0557863439286734</v>
      </c>
      <c r="K681" s="13" t="n">
        <v>-0.832973804192387</v>
      </c>
    </row>
    <row r="682" customFormat="false" ht="15" hidden="false" customHeight="false" outlineLevel="0" collapsed="false">
      <c r="A682" s="12" t="n">
        <v>2019</v>
      </c>
      <c r="B682" s="12" t="n">
        <v>9</v>
      </c>
      <c r="C682" s="13" t="n">
        <v>0.00429999999999999</v>
      </c>
      <c r="D682" s="13" t="n">
        <v>1.0023712384833</v>
      </c>
      <c r="E682" s="13" t="n">
        <v>-0.998071238483295</v>
      </c>
      <c r="F682" s="13" t="n">
        <v>0.0129603986681251</v>
      </c>
      <c r="G682" s="13" t="n">
        <v>-0.0842376699541631</v>
      </c>
      <c r="H682" s="13" t="n">
        <v>-0.116648763860488</v>
      </c>
      <c r="I682" s="13" t="n">
        <v>0.000201472792149383</v>
      </c>
      <c r="J682" s="13" t="n">
        <v>0.0343963928443181</v>
      </c>
      <c r="K682" s="13" t="n">
        <v>-0.844743068973236</v>
      </c>
    </row>
    <row r="683" customFormat="false" ht="15" hidden="false" customHeight="false" outlineLevel="0" collapsed="false">
      <c r="A683" s="12" t="n">
        <v>2019</v>
      </c>
      <c r="B683" s="12" t="n">
        <v>10</v>
      </c>
      <c r="C683" s="13" t="n">
        <v>0.183822580645161</v>
      </c>
      <c r="D683" s="13" t="n">
        <v>1.32270981513636</v>
      </c>
      <c r="E683" s="13" t="n">
        <v>-1.1388872344912</v>
      </c>
      <c r="F683" s="13" t="n">
        <v>-0.0785570669207983</v>
      </c>
      <c r="G683" s="13" t="n">
        <v>-0.13216983586997</v>
      </c>
      <c r="H683" s="13" t="n">
        <v>-0.0848932342864428</v>
      </c>
      <c r="I683" s="13" t="n">
        <v>-0.00578028888986114</v>
      </c>
      <c r="J683" s="13" t="n">
        <v>0.0120346936324684</v>
      </c>
      <c r="K683" s="13" t="n">
        <v>-0.849521502156593</v>
      </c>
    </row>
    <row r="684" customFormat="false" ht="15" hidden="false" customHeight="false" outlineLevel="0" collapsed="false">
      <c r="A684" s="12" t="n">
        <v>2019</v>
      </c>
      <c r="B684" s="12" t="n">
        <v>11</v>
      </c>
      <c r="C684" s="13" t="n">
        <v>0.360856666666667</v>
      </c>
      <c r="D684" s="13" t="n">
        <v>1.36845661432084</v>
      </c>
      <c r="E684" s="13" t="n">
        <v>-1.00759994765418</v>
      </c>
      <c r="F684" s="13" t="n">
        <v>0.0188808219599599</v>
      </c>
      <c r="G684" s="13" t="n">
        <v>-0.117629924212703</v>
      </c>
      <c r="H684" s="13" t="n">
        <v>-0.0375795732535737</v>
      </c>
      <c r="I684" s="13" t="n">
        <v>-0.0104204328820905</v>
      </c>
      <c r="J684" s="13" t="n">
        <v>-0.0106469688895411</v>
      </c>
      <c r="K684" s="13" t="n">
        <v>-0.850203870376227</v>
      </c>
    </row>
    <row r="685" customFormat="false" ht="15" hidden="false" customHeight="false" outlineLevel="0" collapsed="false">
      <c r="A685" s="12" t="n">
        <v>2019</v>
      </c>
      <c r="B685" s="12" t="n">
        <v>12</v>
      </c>
      <c r="C685" s="13" t="n">
        <v>0.223274193548387</v>
      </c>
      <c r="D685" s="13" t="n">
        <v>1.19065771738012</v>
      </c>
      <c r="E685" s="13" t="n">
        <v>-0.967383523831737</v>
      </c>
      <c r="F685" s="13" t="n">
        <v>-0.0401889786553291</v>
      </c>
      <c r="G685" s="13" t="n">
        <v>-0.0405309986624638</v>
      </c>
      <c r="H685" s="13" t="n">
        <v>0.0169281167439272</v>
      </c>
      <c r="I685" s="13" t="n">
        <v>-0.0135612426012352</v>
      </c>
      <c r="J685" s="13" t="n">
        <v>-0.0330234844010521</v>
      </c>
      <c r="K685" s="13" t="n">
        <v>-0.857006936255584</v>
      </c>
    </row>
    <row r="686" customFormat="false" ht="15" hidden="false" customHeight="false" outlineLevel="0" collapsed="false">
      <c r="A686" s="12" t="n">
        <v>2020</v>
      </c>
      <c r="B686" s="12" t="n">
        <v>1</v>
      </c>
      <c r="C686" s="13" t="n">
        <v>0.448138709677419</v>
      </c>
      <c r="D686" s="13" t="n">
        <v>1.14286118520447</v>
      </c>
      <c r="E686" s="13" t="n">
        <v>-0.694722475527052</v>
      </c>
      <c r="F686" s="13" t="n">
        <v>0.120356187958971</v>
      </c>
      <c r="G686" s="13" t="n">
        <v>0.0633348762600236</v>
      </c>
      <c r="H686" s="13" t="n">
        <v>0.0688242424355079</v>
      </c>
      <c r="I686" s="13" t="n">
        <v>-0.0152390610516696</v>
      </c>
      <c r="J686" s="13" t="n">
        <v>-0.0545165606490096</v>
      </c>
      <c r="K686" s="13" t="n">
        <v>-0.877482160480876</v>
      </c>
    </row>
    <row r="687" customFormat="false" ht="15" hidden="false" customHeight="false" outlineLevel="0" collapsed="false">
      <c r="A687" s="12" t="n">
        <v>2020</v>
      </c>
      <c r="B687" s="12" t="n">
        <v>2</v>
      </c>
      <c r="C687" s="13" t="n">
        <v>0.475079310344828</v>
      </c>
      <c r="D687" s="13" t="n">
        <v>1.27972276099554</v>
      </c>
      <c r="E687" s="13" t="n">
        <v>-0.804643450650713</v>
      </c>
      <c r="F687" s="13" t="n">
        <v>-0.0593516140079905</v>
      </c>
      <c r="G687" s="13" t="n">
        <v>0.141964790147658</v>
      </c>
      <c r="H687" s="13" t="n">
        <v>0.108779832250845</v>
      </c>
      <c r="I687" s="13" t="n">
        <v>-0.0156468431998769</v>
      </c>
      <c r="J687" s="13" t="n">
        <v>-0.074610384745564</v>
      </c>
      <c r="K687" s="13" t="n">
        <v>-0.905779231095785</v>
      </c>
    </row>
    <row r="688" customFormat="false" ht="15" hidden="false" customHeight="false" outlineLevel="0" collapsed="false">
      <c r="A688" s="12" t="n">
        <v>2020</v>
      </c>
      <c r="B688" s="12" t="n">
        <v>3</v>
      </c>
      <c r="C688" s="13" t="n">
        <v>0.658932258064516</v>
      </c>
      <c r="D688" s="13" t="n">
        <v>1.41698761068561</v>
      </c>
      <c r="E688" s="13" t="n">
        <v>-0.758055352621091</v>
      </c>
      <c r="F688" s="13" t="n">
        <v>-0.00868063063028004</v>
      </c>
      <c r="G688" s="13" t="n">
        <v>0.155299624673675</v>
      </c>
      <c r="H688" s="13" t="n">
        <v>0.129753793389901</v>
      </c>
      <c r="I688" s="13" t="n">
        <v>-0.0150800111764011</v>
      </c>
      <c r="J688" s="13" t="n">
        <v>-0.09286395257819</v>
      </c>
      <c r="K688" s="13" t="n">
        <v>-0.926484176299796</v>
      </c>
    </row>
    <row r="689" customFormat="false" ht="15" hidden="false" customHeight="false" outlineLevel="0" collapsed="false">
      <c r="A689" s="12" t="n">
        <v>2020</v>
      </c>
      <c r="B689" s="12" t="n">
        <v>4</v>
      </c>
      <c r="C689" s="13" t="n">
        <v>0.575636666666667</v>
      </c>
      <c r="D689" s="13" t="n">
        <v>1.47928144348547</v>
      </c>
      <c r="E689" s="13" t="n">
        <v>-0.903644776818801</v>
      </c>
      <c r="F689" s="13" t="n">
        <v>-0.0737208485575302</v>
      </c>
      <c r="G689" s="13" t="n">
        <v>0.0959916583402431</v>
      </c>
      <c r="H689" s="13" t="n">
        <v>0.128318044561599</v>
      </c>
      <c r="I689" s="13" t="n">
        <v>-0.0138746315382986</v>
      </c>
      <c r="J689" s="13" t="n">
        <v>-0.108921387936783</v>
      </c>
      <c r="K689" s="13" t="n">
        <v>-0.931437611688032</v>
      </c>
    </row>
    <row r="690" customFormat="false" ht="15" hidden="false" customHeight="false" outlineLevel="0" collapsed="false">
      <c r="A690" s="12" t="n">
        <v>2020</v>
      </c>
      <c r="B690" s="12" t="n">
        <v>5</v>
      </c>
      <c r="C690" s="13" t="n">
        <v>0.388167741935484</v>
      </c>
      <c r="D690" s="13" t="n">
        <v>1.22743879730984</v>
      </c>
      <c r="E690" s="13" t="n">
        <v>-0.839271055374351</v>
      </c>
      <c r="F690" s="13" t="n">
        <v>0.12611078792784</v>
      </c>
      <c r="G690" s="13" t="n">
        <v>-0.00682618969822318</v>
      </c>
      <c r="H690" s="13" t="n">
        <v>0.105230325664657</v>
      </c>
      <c r="I690" s="13" t="n">
        <v>-0.0123474090745757</v>
      </c>
      <c r="J690" s="13" t="n">
        <v>-0.122521187998625</v>
      </c>
      <c r="K690" s="13" t="n">
        <v>-0.928917382195424</v>
      </c>
    </row>
    <row r="691" customFormat="false" ht="15" hidden="false" customHeight="false" outlineLevel="0" collapsed="false">
      <c r="A691" s="12" t="n">
        <v>2020</v>
      </c>
      <c r="B691" s="12" t="n">
        <v>6</v>
      </c>
      <c r="C691" s="13" t="n">
        <v>-0.46497</v>
      </c>
      <c r="D691" s="13" t="n">
        <v>0.643189825481605</v>
      </c>
      <c r="E691" s="13" t="n">
        <v>-1.10815982548161</v>
      </c>
      <c r="F691" s="13" t="n">
        <v>0.00608914456738329</v>
      </c>
      <c r="G691" s="13" t="n">
        <v>-0.101923139082327</v>
      </c>
      <c r="H691" s="13" t="n">
        <v>0.0651585519989051</v>
      </c>
      <c r="I691" s="13" t="n">
        <v>-0.0107461567429194</v>
      </c>
      <c r="J691" s="13" t="n">
        <v>-0.133504580279867</v>
      </c>
      <c r="K691" s="13" t="n">
        <v>-0.933233645942781</v>
      </c>
    </row>
    <row r="692" customFormat="false" ht="15" hidden="false" customHeight="false" outlineLevel="0" collapsed="false">
      <c r="A692" s="12" t="n">
        <v>2020</v>
      </c>
      <c r="B692" s="12" t="n">
        <v>7</v>
      </c>
      <c r="C692" s="13" t="n">
        <v>-1.02413548387097</v>
      </c>
      <c r="D692" s="13" t="n">
        <v>0.302348895268137</v>
      </c>
      <c r="E692" s="13" t="n">
        <v>-1.32648437913911</v>
      </c>
      <c r="F692" s="13" t="n">
        <v>-0.0997881474183575</v>
      </c>
      <c r="G692" s="13" t="n">
        <v>-0.142292004120871</v>
      </c>
      <c r="H692" s="13" t="n">
        <v>0.0156464590532798</v>
      </c>
      <c r="I692" s="13" t="n">
        <v>-0.00921741715660113</v>
      </c>
      <c r="J692" s="13" t="n">
        <v>-0.141822321758092</v>
      </c>
      <c r="K692" s="13" t="n">
        <v>-0.949010947738463</v>
      </c>
    </row>
    <row r="693" customFormat="false" ht="15" hidden="false" customHeight="false" outlineLevel="0" collapsed="false">
      <c r="A693" s="12" t="n">
        <v>2020</v>
      </c>
      <c r="B693" s="12" t="n">
        <v>8</v>
      </c>
      <c r="C693" s="13" t="n">
        <v>-0.734354838709677</v>
      </c>
      <c r="D693" s="13" t="n">
        <v>0.489165430886426</v>
      </c>
      <c r="E693" s="13" t="n">
        <v>-1.2235202695961</v>
      </c>
      <c r="F693" s="13" t="n">
        <v>0.0468555346011386</v>
      </c>
      <c r="G693" s="13" t="n">
        <v>-0.110957449812365</v>
      </c>
      <c r="H693" s="13" t="n">
        <v>-0.0344316523529656</v>
      </c>
      <c r="I693" s="13" t="n">
        <v>-0.00779508496529423</v>
      </c>
      <c r="J693" s="13" t="n">
        <v>-0.147538566885036</v>
      </c>
      <c r="K693" s="13" t="n">
        <v>-0.96965305018158</v>
      </c>
    </row>
    <row r="694" customFormat="false" ht="15" hidden="false" customHeight="false" outlineLevel="0" collapsed="false">
      <c r="A694" s="12" t="n">
        <v>2020</v>
      </c>
      <c r="B694" s="12" t="n">
        <v>9</v>
      </c>
      <c r="C694" s="13" t="n">
        <v>-0.410726666666667</v>
      </c>
      <c r="D694" s="13" t="n">
        <v>0.894704853402246</v>
      </c>
      <c r="E694" s="13" t="n">
        <v>-1.30543152006891</v>
      </c>
      <c r="F694" s="13" t="n">
        <v>-0.0525371086389863</v>
      </c>
      <c r="G694" s="13" t="n">
        <v>-0.0312308552638799</v>
      </c>
      <c r="H694" s="13" t="n">
        <v>-0.0765842305182286</v>
      </c>
      <c r="I694" s="13" t="n">
        <v>-0.00641062130621395</v>
      </c>
      <c r="J694" s="13" t="n">
        <v>-0.150830101681187</v>
      </c>
      <c r="K694" s="13" t="n">
        <v>-0.987838602660418</v>
      </c>
    </row>
    <row r="695" customFormat="false" ht="15" hidden="false" customHeight="false" outlineLevel="0" collapsed="false">
      <c r="A695" s="12" t="n">
        <v>2020</v>
      </c>
      <c r="B695" s="12" t="n">
        <v>10</v>
      </c>
      <c r="C695" s="13" t="n">
        <v>0.0533225806451613</v>
      </c>
      <c r="D695" s="13" t="n">
        <v>1.22274237344922</v>
      </c>
      <c r="E695" s="13" t="n">
        <v>-1.16941979280406</v>
      </c>
      <c r="F695" s="13" t="n">
        <v>0.0460300696649029</v>
      </c>
      <c r="G695" s="13" t="n">
        <v>0.0473689777027283</v>
      </c>
      <c r="H695" s="13" t="n">
        <v>-0.104227467578509</v>
      </c>
      <c r="I695" s="13" t="n">
        <v>-0.00492221721709205</v>
      </c>
      <c r="J695" s="13" t="n">
        <v>-0.151979418613186</v>
      </c>
      <c r="K695" s="13" t="n">
        <v>-1.0016897367629</v>
      </c>
    </row>
    <row r="696" customFormat="false" ht="15" hidden="false" customHeight="false" outlineLevel="0" collapsed="false">
      <c r="A696" s="12" t="n">
        <v>2020</v>
      </c>
      <c r="B696" s="12" t="n">
        <v>11</v>
      </c>
      <c r="C696" s="13" t="n">
        <v>0.131233333333333</v>
      </c>
      <c r="D696" s="13" t="n">
        <v>1.27634530164117</v>
      </c>
      <c r="E696" s="13" t="n">
        <v>-1.14511196830784</v>
      </c>
      <c r="F696" s="13" t="n">
        <v>0.053402475589584</v>
      </c>
      <c r="G696" s="13" t="n">
        <v>0.0810241951975374</v>
      </c>
      <c r="H696" s="13" t="n">
        <v>-0.113731487701072</v>
      </c>
      <c r="I696" s="13" t="n">
        <v>-0.00315749368452602</v>
      </c>
      <c r="J696" s="13" t="n">
        <v>-0.151360737966081</v>
      </c>
      <c r="K696" s="13" t="n">
        <v>-1.01128891974328</v>
      </c>
    </row>
    <row r="697" customFormat="false" ht="15" hidden="false" customHeight="false" outlineLevel="0" collapsed="false">
      <c r="A697" s="12" t="n">
        <v>2020</v>
      </c>
      <c r="B697" s="12" t="n">
        <v>12</v>
      </c>
      <c r="C697" s="13" t="n">
        <v>-0.112693548387097</v>
      </c>
      <c r="D697" s="13" t="n">
        <v>1.10654462701282</v>
      </c>
      <c r="E697" s="13" t="n">
        <v>-1.21923817539992</v>
      </c>
      <c r="F697" s="13" t="n">
        <v>-0.00869923475327052</v>
      </c>
      <c r="G697" s="13" t="n">
        <v>0.0603688531843998</v>
      </c>
      <c r="H697" s="13" t="n">
        <v>-0.104821678245109</v>
      </c>
      <c r="I697" s="13" t="n">
        <v>-0.000962390741295199</v>
      </c>
      <c r="J697" s="13" t="n">
        <v>-0.149418945042787</v>
      </c>
      <c r="K697" s="13" t="n">
        <v>-1.01570477980186</v>
      </c>
    </row>
    <row r="698" customFormat="false" ht="15" hidden="false" customHeight="false" outlineLevel="0" collapsed="false">
      <c r="A698" s="12" t="n">
        <v>2021</v>
      </c>
      <c r="B698" s="12" t="n">
        <v>1</v>
      </c>
      <c r="C698" s="13" t="n">
        <v>-0.285377419354839</v>
      </c>
      <c r="D698" s="13" t="n">
        <v>1.06687298672383</v>
      </c>
      <c r="E698" s="13" t="n">
        <v>-1.35225040607867</v>
      </c>
      <c r="F698" s="13" t="n">
        <v>-0.124146032564443</v>
      </c>
      <c r="G698" s="13" t="n">
        <v>0.0146430668006255</v>
      </c>
      <c r="H698" s="13" t="n">
        <v>-0.0803188041610191</v>
      </c>
      <c r="I698" s="13" t="n">
        <v>0.00175195341370887</v>
      </c>
      <c r="J698" s="13" t="n">
        <v>-0.146642266913145</v>
      </c>
      <c r="K698" s="13" t="n">
        <v>-1.01753832265439</v>
      </c>
    </row>
    <row r="699" customFormat="false" ht="15" hidden="false" customHeight="false" outlineLevel="0" collapsed="false">
      <c r="A699" s="12" t="n">
        <v>2021</v>
      </c>
      <c r="B699" s="12" t="n">
        <v>2</v>
      </c>
      <c r="C699" s="13" t="n">
        <v>0.0962535714285715</v>
      </c>
      <c r="D699" s="13" t="n">
        <v>1.21197040980656</v>
      </c>
      <c r="E699" s="13" t="n">
        <v>-1.11571683837799</v>
      </c>
      <c r="F699" s="13" t="n">
        <v>0.107380615162942</v>
      </c>
      <c r="G699" s="13" t="n">
        <v>-0.0130881005482595</v>
      </c>
      <c r="H699" s="13" t="n">
        <v>-0.045339955838901</v>
      </c>
      <c r="I699" s="13" t="n">
        <v>0.00497219947554161</v>
      </c>
      <c r="J699" s="13" t="n">
        <v>-0.143530227314084</v>
      </c>
      <c r="K699" s="13" t="n">
        <v>-1.02611136931523</v>
      </c>
    </row>
    <row r="700" customFormat="false" ht="15" hidden="false" customHeight="false" outlineLevel="0" collapsed="false">
      <c r="A700" s="12" t="n">
        <v>2021</v>
      </c>
      <c r="B700" s="12" t="n">
        <v>3</v>
      </c>
      <c r="C700" s="13" t="n">
        <v>0.144909677419355</v>
      </c>
      <c r="D700" s="13" t="n">
        <v>1.35756609940112</v>
      </c>
      <c r="E700" s="13" t="n">
        <v>-1.21265642198176</v>
      </c>
      <c r="F700" s="13" t="n">
        <v>-0.0247499670512297</v>
      </c>
      <c r="G700" s="13" t="n">
        <v>-0.00127216350328012</v>
      </c>
      <c r="H700" s="13" t="n">
        <v>-0.00617899656103291</v>
      </c>
      <c r="I700" s="13" t="n">
        <v>0.00856208898956779</v>
      </c>
      <c r="J700" s="13" t="n">
        <v>-0.140558987966113</v>
      </c>
      <c r="K700" s="13" t="n">
        <v>-1.04845839588967</v>
      </c>
    </row>
    <row r="701" customFormat="false" ht="15" hidden="false" customHeight="false" outlineLevel="0" collapsed="false">
      <c r="A701" s="12" t="n">
        <v>2021</v>
      </c>
      <c r="B701" s="12" t="n">
        <v>4</v>
      </c>
      <c r="C701" s="13" t="n">
        <v>0.311903333333333</v>
      </c>
      <c r="D701" s="13" t="n">
        <v>1.42826959582332</v>
      </c>
      <c r="E701" s="13" t="n">
        <v>-1.11636626248998</v>
      </c>
      <c r="F701" s="13" t="n">
        <v>0.0234296478202935</v>
      </c>
      <c r="G701" s="13" t="n">
        <v>0.0323346875957999</v>
      </c>
      <c r="H701" s="13" t="n">
        <v>0.0308775277547254</v>
      </c>
      <c r="I701" s="13" t="n">
        <v>0.0122620472855532</v>
      </c>
      <c r="J701" s="13" t="n">
        <v>-0.13814662625118</v>
      </c>
      <c r="K701" s="13" t="n">
        <v>-1.07712354669518</v>
      </c>
    </row>
    <row r="702" customFormat="false" ht="15" hidden="false" customHeight="false" outlineLevel="0" collapsed="false">
      <c r="A702" s="12" t="n">
        <v>2021</v>
      </c>
      <c r="B702" s="12" t="n">
        <v>5</v>
      </c>
      <c r="C702" s="13" t="n">
        <v>0.0206548387096774</v>
      </c>
      <c r="D702" s="13" t="n">
        <v>1.1848991050845</v>
      </c>
      <c r="E702" s="13" t="n">
        <v>-1.16424426637483</v>
      </c>
      <c r="F702" s="13" t="n">
        <v>-0.055000370336195</v>
      </c>
      <c r="G702" s="13" t="n">
        <v>0.0458765492712688</v>
      </c>
      <c r="H702" s="13" t="n">
        <v>0.0605665271117057</v>
      </c>
      <c r="I702" s="13" t="n">
        <v>0.0157101857183967</v>
      </c>
      <c r="J702" s="13" t="n">
        <v>-0.13662115777304</v>
      </c>
      <c r="K702" s="13" t="n">
        <v>-1.09477600036696</v>
      </c>
    </row>
    <row r="703" customFormat="false" ht="15" hidden="false" customHeight="false" outlineLevel="0" collapsed="false">
      <c r="A703" s="12" t="n">
        <v>2021</v>
      </c>
      <c r="B703" s="12" t="n">
        <v>6</v>
      </c>
      <c r="C703" s="13" t="n">
        <v>-0.541036666666667</v>
      </c>
      <c r="D703" s="13" t="n">
        <v>0.609168329146058</v>
      </c>
      <c r="E703" s="13" t="n">
        <v>-1.15020499581273</v>
      </c>
      <c r="F703" s="13" t="n">
        <v>-0.0281913478625581</v>
      </c>
      <c r="G703" s="13" t="n">
        <v>0.0106886447785188</v>
      </c>
      <c r="H703" s="13" t="n">
        <v>0.0793349146020776</v>
      </c>
      <c r="I703" s="13" t="n">
        <v>0.0184826444804127</v>
      </c>
      <c r="J703" s="13" t="n">
        <v>-0.136194093475695</v>
      </c>
      <c r="K703" s="13" t="n">
        <v>-1.09432575833548</v>
      </c>
    </row>
    <row r="704" customFormat="false" ht="15" hidden="false" customHeight="false" outlineLevel="0" collapsed="false">
      <c r="A704" s="12" t="n">
        <v>2021</v>
      </c>
      <c r="B704" s="12" t="n">
        <v>7</v>
      </c>
      <c r="C704" s="13" t="n">
        <v>-0.778525806451613</v>
      </c>
      <c r="D704" s="13" t="n">
        <v>0.276875108304567</v>
      </c>
      <c r="E704" s="13" t="n">
        <v>-1.05540091475618</v>
      </c>
      <c r="F704" s="13" t="n">
        <v>0.123667090487373</v>
      </c>
      <c r="G704" s="13" t="n">
        <v>-0.0597110718596848</v>
      </c>
      <c r="H704" s="13" t="n">
        <v>0.0856298157206328</v>
      </c>
      <c r="I704" s="13" t="n">
        <v>0.0201483284048307</v>
      </c>
      <c r="J704" s="13" t="n">
        <v>-0.136941987444194</v>
      </c>
      <c r="K704" s="13" t="n">
        <v>-1.08819309006514</v>
      </c>
    </row>
    <row r="705" customFormat="false" ht="15" hidden="false" customHeight="false" outlineLevel="0" collapsed="false">
      <c r="A705" s="12" t="n">
        <v>2021</v>
      </c>
      <c r="B705" s="12" t="n">
        <v>8</v>
      </c>
      <c r="C705" s="13" t="n">
        <v>-0.768232258064516</v>
      </c>
      <c r="D705" s="13" t="n">
        <v>0.472252308256333</v>
      </c>
      <c r="E705" s="13" t="n">
        <v>-1.24048456632085</v>
      </c>
      <c r="F705" s="13" t="n">
        <v>0.00555090925550031</v>
      </c>
      <c r="G705" s="13" t="n">
        <v>-0.114888886613353</v>
      </c>
      <c r="H705" s="13" t="n">
        <v>0.079818406277384</v>
      </c>
      <c r="I705" s="13" t="n">
        <v>0.0203308406772035</v>
      </c>
      <c r="J705" s="13" t="n">
        <v>-0.138797820372819</v>
      </c>
      <c r="K705" s="13" t="n">
        <v>-1.09249801554477</v>
      </c>
    </row>
    <row r="706" customFormat="false" ht="15" hidden="false" customHeight="false" outlineLevel="0" collapsed="false">
      <c r="A706" s="12" t="n">
        <v>2021</v>
      </c>
      <c r="B706" s="12" t="n">
        <v>9</v>
      </c>
      <c r="C706" s="13" t="n">
        <v>-0.474093333333333</v>
      </c>
      <c r="D706" s="13" t="n">
        <v>0.886348804083605</v>
      </c>
      <c r="E706" s="13" t="n">
        <v>-1.36044213741694</v>
      </c>
      <c r="F706" s="13" t="n">
        <v>-0.0884054116465084</v>
      </c>
      <c r="G706" s="13" t="n">
        <v>-0.105852018438859</v>
      </c>
      <c r="H706" s="13" t="n">
        <v>0.0638319081716003</v>
      </c>
      <c r="I706" s="13" t="n">
        <v>0.0187691209205462</v>
      </c>
      <c r="J706" s="13" t="n">
        <v>-0.141553243723144</v>
      </c>
      <c r="K706" s="13" t="n">
        <v>-1.10723249270057</v>
      </c>
    </row>
    <row r="707" customFormat="false" ht="15" hidden="false" customHeight="false" outlineLevel="0" collapsed="false">
      <c r="A707" s="12" t="n">
        <v>2021</v>
      </c>
      <c r="B707" s="12" t="n">
        <v>10</v>
      </c>
      <c r="C707" s="13" t="n">
        <v>-0.0574258064516129</v>
      </c>
      <c r="D707" s="13" t="n">
        <v>1.22292331698161</v>
      </c>
      <c r="E707" s="13" t="n">
        <v>-1.28034912343322</v>
      </c>
      <c r="F707" s="13" t="n">
        <v>-0.0453867031073092</v>
      </c>
      <c r="G707" s="13" t="n">
        <v>-0.0264690427562056</v>
      </c>
      <c r="H707" s="13" t="n">
        <v>0.0406602439321608</v>
      </c>
      <c r="I707" s="13" t="n">
        <v>0.0153681274731439</v>
      </c>
      <c r="J707" s="13" t="n">
        <v>-0.144871780157935</v>
      </c>
      <c r="K707" s="13" t="n">
        <v>-1.11964996881708</v>
      </c>
    </row>
    <row r="708" customFormat="false" ht="15" hidden="false" customHeight="false" outlineLevel="0" collapsed="false">
      <c r="A708" s="12" t="n">
        <v>2021</v>
      </c>
      <c r="B708" s="12" t="n">
        <v>11</v>
      </c>
      <c r="C708" s="13" t="n">
        <v>0.0896966666666667</v>
      </c>
      <c r="D708" s="13" t="n">
        <v>1.28502676848379</v>
      </c>
      <c r="E708" s="13" t="n">
        <v>-1.19533010181713</v>
      </c>
      <c r="F708" s="13" t="n">
        <v>-0.0239151462095677</v>
      </c>
      <c r="G708" s="13" t="n">
        <v>0.0772308710450825</v>
      </c>
      <c r="H708" s="13" t="n">
        <v>0.0138184486123373</v>
      </c>
      <c r="I708" s="13" t="n">
        <v>0.0102319034676938</v>
      </c>
      <c r="J708" s="13" t="n">
        <v>-0.14831218440021</v>
      </c>
      <c r="K708" s="13" t="n">
        <v>-1.12438399433246</v>
      </c>
    </row>
    <row r="709" customFormat="false" ht="15" hidden="false" customHeight="false" outlineLevel="0" collapsed="false">
      <c r="A709" s="12" t="n">
        <v>2021</v>
      </c>
      <c r="B709" s="12" t="n">
        <v>12</v>
      </c>
      <c r="C709" s="13" t="n">
        <v>0.128783870967742</v>
      </c>
      <c r="D709" s="13" t="n">
        <v>1.12367390234127</v>
      </c>
      <c r="E709" s="13" t="n">
        <v>-0.994890031373524</v>
      </c>
      <c r="F709" s="13" t="n">
        <v>0.156468626224949</v>
      </c>
      <c r="G709" s="13" t="n">
        <v>0.139470994777661</v>
      </c>
      <c r="H709" s="13" t="n">
        <v>-0.0131272667477315</v>
      </c>
      <c r="I709" s="13" t="n">
        <v>0.00367341513999624</v>
      </c>
      <c r="J709" s="13" t="n">
        <v>-0.151360442417696</v>
      </c>
      <c r="K709" s="13" t="n">
        <v>-1.1300153583507</v>
      </c>
    </row>
    <row r="710" customFormat="false" ht="15" hidden="false" customHeight="false" outlineLevel="0" collapsed="false">
      <c r="A710" s="12" t="n">
        <v>2022</v>
      </c>
      <c r="B710" s="12" t="n">
        <v>1</v>
      </c>
      <c r="C710" s="13" t="n">
        <v>-0.0942967741935484</v>
      </c>
      <c r="D710" s="13" t="n">
        <v>1.09238129720545</v>
      </c>
      <c r="E710" s="13" t="n">
        <v>-1.18667807139899</v>
      </c>
      <c r="F710" s="13" t="n">
        <v>0.0279676962401655</v>
      </c>
      <c r="G710" s="13" t="n">
        <v>0.122971470956327</v>
      </c>
      <c r="H710" s="13" t="n">
        <v>-0.0369310821276291</v>
      </c>
      <c r="I710" s="13" t="n">
        <v>-0.00380160525675327</v>
      </c>
      <c r="J710" s="13" t="n">
        <v>-0.15346831530254</v>
      </c>
      <c r="K710" s="13" t="n">
        <v>-1.14341623590856</v>
      </c>
    </row>
    <row r="711" customFormat="false" ht="15" hidden="false" customHeight="false" outlineLevel="0" collapsed="false">
      <c r="A711" s="12" t="n">
        <v>2022</v>
      </c>
      <c r="B711" s="12" t="n">
        <v>2</v>
      </c>
      <c r="C711" s="13" t="n">
        <v>-0.192539285714286</v>
      </c>
      <c r="D711" s="13" t="n">
        <v>1.24577315274715</v>
      </c>
      <c r="E711" s="13" t="n">
        <v>-1.43831243846144</v>
      </c>
      <c r="F711" s="13" t="n">
        <v>-0.104198685502134</v>
      </c>
      <c r="G711" s="13" t="n">
        <v>0.0437357248115714</v>
      </c>
      <c r="H711" s="13" t="n">
        <v>-0.054934649574009</v>
      </c>
      <c r="I711" s="13" t="n">
        <v>-0.0115362982455166</v>
      </c>
      <c r="J711" s="13" t="n">
        <v>-0.154095785438725</v>
      </c>
      <c r="K711" s="13" t="n">
        <v>-1.15728274451263</v>
      </c>
    </row>
    <row r="712" customFormat="false" ht="15" hidden="false" customHeight="false" outlineLevel="0" collapsed="false">
      <c r="A712" s="12" t="n">
        <v>2022</v>
      </c>
      <c r="B712" s="12" t="n">
        <v>3</v>
      </c>
      <c r="C712" s="13" t="n">
        <v>-0.0913451612903226</v>
      </c>
      <c r="D712" s="13" t="n">
        <v>1.39956311352271</v>
      </c>
      <c r="E712" s="13" t="n">
        <v>-1.49090827481304</v>
      </c>
      <c r="F712" s="13" t="n">
        <v>-0.0473953510404587</v>
      </c>
      <c r="G712" s="13" t="n">
        <v>-0.0456771046257022</v>
      </c>
      <c r="H712" s="13" t="n">
        <v>-0.0652515711913101</v>
      </c>
      <c r="I712" s="13" t="n">
        <v>-0.018785981481536</v>
      </c>
      <c r="J712" s="13" t="n">
        <v>-0.152754176851097</v>
      </c>
      <c r="K712" s="13" t="n">
        <v>-1.16104408962293</v>
      </c>
    </row>
    <row r="713" customFormat="false" ht="15" hidden="false" customHeight="false" outlineLevel="0" collapsed="false">
      <c r="A713" s="12" t="n">
        <v>2022</v>
      </c>
      <c r="B713" s="12" t="n">
        <v>4</v>
      </c>
      <c r="C713" s="13" t="n">
        <v>-0.0578666666666667</v>
      </c>
      <c r="D713" s="13" t="n">
        <v>1.47834547281097</v>
      </c>
      <c r="E713" s="13" t="n">
        <v>-1.53621213947764</v>
      </c>
      <c r="F713" s="13" t="n">
        <v>-0.0401621149605997</v>
      </c>
      <c r="G713" s="13" t="n">
        <v>-0.0966898169642344</v>
      </c>
      <c r="H713" s="13" t="n">
        <v>-0.0668943157115512</v>
      </c>
      <c r="I713" s="13" t="n">
        <v>-0.0247964019151647</v>
      </c>
      <c r="J713" s="13" t="n">
        <v>-0.14904626709418</v>
      </c>
      <c r="K713" s="13" t="n">
        <v>-1.15862322283191</v>
      </c>
    </row>
    <row r="714" customFormat="false" ht="15" hidden="false" customHeight="false" outlineLevel="0" collapsed="false">
      <c r="A714" s="12" t="n">
        <v>2022</v>
      </c>
      <c r="B714" s="12" t="n">
        <v>5</v>
      </c>
      <c r="C714" s="13" t="n">
        <v>-0.0376612903225806</v>
      </c>
      <c r="D714" s="13" t="n">
        <v>1.24292354093316</v>
      </c>
      <c r="E714" s="13" t="n">
        <v>-1.28058483125574</v>
      </c>
      <c r="F714" s="13" t="n">
        <v>0.210039926133118</v>
      </c>
      <c r="G714" s="13" t="n">
        <v>-0.0943119008876416</v>
      </c>
      <c r="H714" s="13" t="n">
        <v>-0.0598548508256046</v>
      </c>
      <c r="I714" s="13" t="n">
        <v>-0.0288880915113042</v>
      </c>
      <c r="J714" s="13" t="n">
        <v>-0.142699682961877</v>
      </c>
      <c r="K714" s="13" t="n">
        <v>-1.16487023120243</v>
      </c>
    </row>
    <row r="715" customFormat="false" ht="15" hidden="false" customHeight="false" outlineLevel="0" collapsed="false">
      <c r="A715" s="12" t="n">
        <v>2022</v>
      </c>
      <c r="B715" s="12" t="n">
        <v>6</v>
      </c>
      <c r="C715" s="13" t="n">
        <v>-0.901306666666667</v>
      </c>
      <c r="D715" s="13" t="n">
        <v>0.674996514197295</v>
      </c>
      <c r="E715" s="13" t="n">
        <v>-1.57630318086396</v>
      </c>
      <c r="F715" s="13" t="n">
        <v>-0.126453206658818</v>
      </c>
      <c r="G715" s="13" t="n">
        <v>-0.0560960172671749</v>
      </c>
      <c r="H715" s="13" t="n">
        <v>-0.0451292897984281</v>
      </c>
      <c r="I715" s="13" t="n">
        <v>-0.0305369099368184</v>
      </c>
      <c r="J715" s="13" t="n">
        <v>-0.133590437917647</v>
      </c>
      <c r="K715" s="13" t="n">
        <v>-1.18449731928508</v>
      </c>
    </row>
    <row r="716" customFormat="false" ht="15" hidden="false" customHeight="false" outlineLevel="0" collapsed="false">
      <c r="A716" s="12" t="n">
        <v>2022</v>
      </c>
      <c r="B716" s="12" t="n">
        <v>7</v>
      </c>
      <c r="C716" s="13" t="n">
        <v>-1.02175161290323</v>
      </c>
      <c r="D716" s="13" t="n">
        <v>0.350348154756305</v>
      </c>
      <c r="E716" s="13" t="n">
        <v>-1.37209976765953</v>
      </c>
      <c r="F716" s="13" t="n">
        <v>0.0174515203015643</v>
      </c>
      <c r="G716" s="13" t="n">
        <v>-0.00974332266098972</v>
      </c>
      <c r="H716" s="13" t="n">
        <v>-0.024660180273513</v>
      </c>
      <c r="I716" s="13" t="n">
        <v>-0.0294409880820206</v>
      </c>
      <c r="J716" s="13" t="n">
        <v>-0.121754516098147</v>
      </c>
      <c r="K716" s="13" t="n">
        <v>-1.20395228084643</v>
      </c>
    </row>
    <row r="717" customFormat="false" ht="15" hidden="false" customHeight="false" outlineLevel="0" collapsed="false">
      <c r="A717" s="12" t="n">
        <v>2022</v>
      </c>
      <c r="B717" s="12" t="n">
        <v>8</v>
      </c>
      <c r="C717" s="13" t="n">
        <v>-0.781706451612903</v>
      </c>
      <c r="D717" s="13" t="n">
        <v>0.553197713820207</v>
      </c>
      <c r="E717" s="13" t="n">
        <v>-1.33490416543311</v>
      </c>
      <c r="F717" s="13" t="n">
        <v>-0.0196434712794329</v>
      </c>
      <c r="G717" s="13" t="n">
        <v>0.0267811214006645</v>
      </c>
      <c r="H717" s="13" t="n">
        <v>-0.00116690080329067</v>
      </c>
      <c r="I717" s="13" t="n">
        <v>-0.0255656194049396</v>
      </c>
      <c r="J717" s="13" t="n">
        <v>-0.107386687273777</v>
      </c>
      <c r="K717" s="13" t="n">
        <v>-1.20792260807234</v>
      </c>
    </row>
    <row r="718" customFormat="false" ht="15" hidden="false" customHeight="false" outlineLevel="0" collapsed="false">
      <c r="A718" s="12" t="n">
        <v>2022</v>
      </c>
      <c r="B718" s="12" t="n">
        <v>9</v>
      </c>
      <c r="C718" s="13" t="n">
        <v>-0.276526666666667</v>
      </c>
      <c r="D718" s="13" t="n">
        <v>0.974580950353777</v>
      </c>
      <c r="E718" s="13" t="n">
        <v>-1.25110761702044</v>
      </c>
      <c r="F718" s="13" t="n">
        <v>-0.0138065223305499</v>
      </c>
      <c r="G718" s="13" t="n">
        <v>0.0485203988676993</v>
      </c>
      <c r="H718" s="13" t="n">
        <v>0.0221512074506512</v>
      </c>
      <c r="I718" s="13" t="n">
        <v>-0.019160033322902</v>
      </c>
      <c r="J718" s="13" t="n">
        <v>-0.0908270467308305</v>
      </c>
      <c r="K718" s="13" t="n">
        <v>-1.19798562095451</v>
      </c>
    </row>
    <row r="719" customFormat="false" ht="15" hidden="false" customHeight="false" outlineLevel="0" collapsed="false">
      <c r="A719" s="12" t="n">
        <v>2022</v>
      </c>
      <c r="B719" s="12" t="n">
        <v>10</v>
      </c>
      <c r="C719" s="13" t="n">
        <v>0.159948387096774</v>
      </c>
      <c r="D719" s="13" t="n">
        <v>1.31824400097588</v>
      </c>
      <c r="E719" s="13" t="n">
        <v>-1.15829561387911</v>
      </c>
      <c r="F719" s="13" t="n">
        <v>0.0175533758751522</v>
      </c>
      <c r="G719" s="13" t="n">
        <v>0.0553733258769392</v>
      </c>
      <c r="H719" s="13" t="n">
        <v>0.0420256347322541</v>
      </c>
      <c r="I719" s="13" t="n">
        <v>-0.010743147750715</v>
      </c>
      <c r="J719" s="13" t="n">
        <v>-0.0725369755041138</v>
      </c>
      <c r="K719" s="13" t="n">
        <v>-1.18996782710863</v>
      </c>
    </row>
    <row r="720" customFormat="false" ht="15" hidden="false" customHeight="false" outlineLevel="0" collapsed="false">
      <c r="A720" s="12" t="n">
        <v>2022</v>
      </c>
      <c r="B720" s="12" t="n">
        <v>11</v>
      </c>
      <c r="C720" s="13" t="n">
        <v>0.30903</v>
      </c>
      <c r="D720" s="13" t="n">
        <v>1.38722576571741</v>
      </c>
      <c r="E720" s="13" t="n">
        <v>-1.07819576571741</v>
      </c>
      <c r="F720" s="13" t="n">
        <v>0.0692201380658666</v>
      </c>
      <c r="G720" s="13" t="n">
        <v>0.0462230804104786</v>
      </c>
      <c r="H720" s="13" t="n">
        <v>0.0555952520909946</v>
      </c>
      <c r="I720" s="13" t="n">
        <v>-0.00105896227085702</v>
      </c>
      <c r="J720" s="13" t="n">
        <v>-0.0530671642566899</v>
      </c>
      <c r="K720" s="13" t="n">
        <v>-1.19510810975721</v>
      </c>
    </row>
    <row r="721" customFormat="false" ht="15" hidden="false" customHeight="false" outlineLevel="0" collapsed="false">
      <c r="A721" s="12" t="n">
        <v>2022</v>
      </c>
      <c r="B721" s="12" t="n">
        <v>12</v>
      </c>
      <c r="C721" s="13" t="n">
        <v>0.0089</v>
      </c>
      <c r="D721" s="13" t="n">
        <v>1.23252955970151</v>
      </c>
      <c r="E721" s="13" t="n">
        <v>-1.22362955970151</v>
      </c>
      <c r="F721" s="13" t="n">
        <v>-0.0735180039276153</v>
      </c>
      <c r="G721" s="13" t="n">
        <v>0.0215893546884531</v>
      </c>
      <c r="H721" s="13" t="n">
        <v>0.0608708255706469</v>
      </c>
      <c r="I721" s="13" t="n">
        <v>0.00899420463282671</v>
      </c>
      <c r="J721" s="13" t="n">
        <v>-0.0330208978371518</v>
      </c>
      <c r="K721" s="13" t="n">
        <v>-1.20854504282867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14" t="s">
        <v>62</v>
      </c>
      <c r="B1" s="14" t="s">
        <v>63</v>
      </c>
      <c r="C1" s="14" t="s">
        <v>64</v>
      </c>
      <c r="D1" s="14" t="s">
        <v>65</v>
      </c>
      <c r="E1" s="14" t="s">
        <v>66</v>
      </c>
    </row>
    <row r="2" customFormat="false" ht="15" hidden="false" customHeight="false" outlineLevel="0" collapsed="false">
      <c r="A2" s="15" t="n">
        <v>1964</v>
      </c>
      <c r="B2" s="16" t="n">
        <f aca="false">SUMIFS(Band_TimeSeries!$G$2:$G$721,Band_TimeSeries!$A$2:$A$721,1963,Band_TimeSeries!$B$2:$B$721,3)</f>
        <v>-0.0166539106455006</v>
      </c>
      <c r="C2" s="16" t="n">
        <f aca="false">SUMIFS(Band_TimeSeries!$G$2:$G$721,Band_TimeSeries!$A$2:$A$721,1963,Band_TimeSeries!$B$2:$B$721,7)</f>
        <v>-0.00120965732520157</v>
      </c>
      <c r="D2" s="17" t="n">
        <f aca="false">B2-C2</f>
        <v>-0.015444253320299</v>
      </c>
      <c r="E2" s="18" t="s">
        <v>67</v>
      </c>
    </row>
    <row r="3" customFormat="false" ht="15" hidden="false" customHeight="false" outlineLevel="0" collapsed="false">
      <c r="A3" s="19" t="n">
        <v>1965</v>
      </c>
      <c r="B3" s="20" t="n">
        <f aca="false">SUMIFS(Band_TimeSeries!$G$2:$G$721,Band_TimeSeries!$A$2:$A$721,1964,Band_TimeSeries!$B$2:$B$721,3)</f>
        <v>-0.0146875718073448</v>
      </c>
      <c r="C3" s="20" t="n">
        <f aca="false">SUMIFS(Band_TimeSeries!$G$2:$G$721,Band_TimeSeries!$A$2:$A$721,1964,Band_TimeSeries!$B$2:$B$721,7)</f>
        <v>-0.00924806003455937</v>
      </c>
      <c r="D3" s="21" t="n">
        <f aca="false">B3-C3</f>
        <v>-0.00543951177278542</v>
      </c>
      <c r="E3" s="22" t="s">
        <v>68</v>
      </c>
    </row>
    <row r="4" customFormat="false" ht="15" hidden="false" customHeight="false" outlineLevel="0" collapsed="false">
      <c r="A4" s="23" t="n">
        <v>1966</v>
      </c>
      <c r="B4" s="24" t="n">
        <f aca="false">SUMIFS(Band_TimeSeries!$G$2:$G$721,Band_TimeSeries!$A$2:$A$721,1965,Band_TimeSeries!$B$2:$B$721,3)</f>
        <v>-0.0548562383953483</v>
      </c>
      <c r="C4" s="24" t="n">
        <f aca="false">SUMIFS(Band_TimeSeries!$G$2:$G$721,Band_TimeSeries!$A$2:$A$721,1965,Band_TimeSeries!$B$2:$B$721,7)</f>
        <v>0.0540782704242301</v>
      </c>
      <c r="D4" s="25" t="n">
        <f aca="false">B4-C4</f>
        <v>-0.108934508819578</v>
      </c>
      <c r="E4" s="26" t="s">
        <v>69</v>
      </c>
    </row>
    <row r="5" customFormat="false" ht="15" hidden="false" customHeight="false" outlineLevel="0" collapsed="false">
      <c r="A5" s="15" t="n">
        <v>1967</v>
      </c>
      <c r="B5" s="16" t="n">
        <f aca="false">SUMIFS(Band_TimeSeries!$G$2:$G$721,Band_TimeSeries!$A$2:$A$721,1966,Band_TimeSeries!$B$2:$B$721,3)</f>
        <v>0.0152943207257103</v>
      </c>
      <c r="C5" s="16" t="n">
        <f aca="false">SUMIFS(Band_TimeSeries!$G$2:$G$721,Band_TimeSeries!$A$2:$A$721,1966,Band_TimeSeries!$B$2:$B$721,7)</f>
        <v>-0.00134746302725108</v>
      </c>
      <c r="D5" s="17" t="n">
        <f aca="false">B5-C5</f>
        <v>0.0166417837529614</v>
      </c>
      <c r="E5" s="18" t="s">
        <v>67</v>
      </c>
    </row>
    <row r="6" customFormat="false" ht="15" hidden="false" customHeight="false" outlineLevel="0" collapsed="false">
      <c r="A6" s="23" t="n">
        <v>1968</v>
      </c>
      <c r="B6" s="24" t="n">
        <f aca="false">SUMIFS(Band_TimeSeries!$G$2:$G$721,Band_TimeSeries!$A$2:$A$721,1967,Band_TimeSeries!$B$2:$B$721,3)</f>
        <v>0.000623299811373059</v>
      </c>
      <c r="C6" s="24" t="n">
        <f aca="false">SUMIFS(Band_TimeSeries!$G$2:$G$721,Band_TimeSeries!$A$2:$A$721,1967,Band_TimeSeries!$B$2:$B$721,7)</f>
        <v>-0.011347460181095</v>
      </c>
      <c r="D6" s="25" t="n">
        <f aca="false">B6-C6</f>
        <v>0.011970759992468</v>
      </c>
      <c r="E6" s="26" t="s">
        <v>69</v>
      </c>
    </row>
    <row r="7" customFormat="false" ht="15" hidden="false" customHeight="false" outlineLevel="0" collapsed="false">
      <c r="A7" s="23" t="n">
        <v>1969</v>
      </c>
      <c r="B7" s="24" t="n">
        <f aca="false">SUMIFS(Band_TimeSeries!$G$2:$G$721,Band_TimeSeries!$A$2:$A$721,1968,Band_TimeSeries!$B$2:$B$721,3)</f>
        <v>-0.0881534230066608</v>
      </c>
      <c r="C7" s="24" t="n">
        <f aca="false">SUMIFS(Band_TimeSeries!$G$2:$G$721,Band_TimeSeries!$A$2:$A$721,1968,Band_TimeSeries!$B$2:$B$721,7)</f>
        <v>0.123233544836329</v>
      </c>
      <c r="D7" s="25" t="n">
        <f aca="false">B7-C7</f>
        <v>-0.211386967842989</v>
      </c>
      <c r="E7" s="26" t="s">
        <v>69</v>
      </c>
    </row>
    <row r="8" customFormat="false" ht="15" hidden="false" customHeight="false" outlineLevel="0" collapsed="false">
      <c r="A8" s="15" t="n">
        <v>1970</v>
      </c>
      <c r="B8" s="16" t="n">
        <f aca="false">SUMIFS(Band_TimeSeries!$G$2:$G$721,Band_TimeSeries!$A$2:$A$721,1969,Band_TimeSeries!$B$2:$B$721,3)</f>
        <v>0.0839560849223055</v>
      </c>
      <c r="C8" s="16" t="n">
        <f aca="false">SUMIFS(Band_TimeSeries!$G$2:$G$721,Band_TimeSeries!$A$2:$A$721,1969,Band_TimeSeries!$B$2:$B$721,7)</f>
        <v>-0.0172393176699899</v>
      </c>
      <c r="D8" s="17" t="n">
        <f aca="false">B8-C8</f>
        <v>0.101195402592295</v>
      </c>
      <c r="E8" s="18" t="s">
        <v>67</v>
      </c>
    </row>
    <row r="9" customFormat="false" ht="15" hidden="false" customHeight="false" outlineLevel="0" collapsed="false">
      <c r="A9" s="15" t="n">
        <v>1971</v>
      </c>
      <c r="B9" s="16" t="n">
        <f aca="false">SUMIFS(Band_TimeSeries!$G$2:$G$721,Band_TimeSeries!$A$2:$A$721,1970,Band_TimeSeries!$B$2:$B$721,3)</f>
        <v>0.0836946819655622</v>
      </c>
      <c r="C9" s="16" t="n">
        <f aca="false">SUMIFS(Band_TimeSeries!$G$2:$G$721,Band_TimeSeries!$A$2:$A$721,1970,Band_TimeSeries!$B$2:$B$721,7)</f>
        <v>-0.108918600755759</v>
      </c>
      <c r="D9" s="17" t="n">
        <f aca="false">B9-C9</f>
        <v>0.192613282721321</v>
      </c>
      <c r="E9" s="18" t="s">
        <v>67</v>
      </c>
    </row>
    <row r="10" customFormat="false" ht="15" hidden="false" customHeight="false" outlineLevel="0" collapsed="false">
      <c r="A10" s="19" t="n">
        <v>1972</v>
      </c>
      <c r="B10" s="20" t="n">
        <f aca="false">SUMIFS(Band_TimeSeries!$G$2:$G$721,Band_TimeSeries!$A$2:$A$721,1971,Band_TimeSeries!$B$2:$B$721,3)</f>
        <v>-0.103074652327757</v>
      </c>
      <c r="C10" s="20" t="n">
        <f aca="false">SUMIFS(Band_TimeSeries!$G$2:$G$721,Band_TimeSeries!$A$2:$A$721,1971,Band_TimeSeries!$B$2:$B$721,7)</f>
        <v>0.0539847141751152</v>
      </c>
      <c r="D10" s="21" t="n">
        <f aca="false">B10-C10</f>
        <v>-0.157059366502872</v>
      </c>
      <c r="E10" s="22" t="s">
        <v>68</v>
      </c>
    </row>
    <row r="11" customFormat="false" ht="15" hidden="false" customHeight="false" outlineLevel="0" collapsed="false">
      <c r="A11" s="15" t="n">
        <v>1973</v>
      </c>
      <c r="B11" s="16" t="n">
        <f aca="false">SUMIFS(Band_TimeSeries!$G$2:$G$721,Band_TimeSeries!$A$2:$A$721,1972,Band_TimeSeries!$B$2:$B$721,3)</f>
        <v>-0.0494772083015613</v>
      </c>
      <c r="C11" s="16" t="n">
        <f aca="false">SUMIFS(Band_TimeSeries!$G$2:$G$721,Band_TimeSeries!$A$2:$A$721,1972,Band_TimeSeries!$B$2:$B$721,7)</f>
        <v>0.0595122116985307</v>
      </c>
      <c r="D11" s="17" t="n">
        <f aca="false">B11-C11</f>
        <v>-0.108989420000092</v>
      </c>
      <c r="E11" s="18" t="s">
        <v>67</v>
      </c>
    </row>
    <row r="12" customFormat="false" ht="15" hidden="false" customHeight="false" outlineLevel="0" collapsed="false">
      <c r="A12" s="23" t="n">
        <v>1974</v>
      </c>
      <c r="B12" s="24" t="n">
        <f aca="false">SUMIFS(Band_TimeSeries!$G$2:$G$721,Band_TimeSeries!$A$2:$A$721,1973,Band_TimeSeries!$B$2:$B$721,3)</f>
        <v>-0.00126562768289487</v>
      </c>
      <c r="C12" s="24" t="n">
        <f aca="false">SUMIFS(Band_TimeSeries!$G$2:$G$721,Band_TimeSeries!$A$2:$A$721,1973,Band_TimeSeries!$B$2:$B$721,7)</f>
        <v>0.0199134144660823</v>
      </c>
      <c r="D12" s="25" t="n">
        <f aca="false">B12-C12</f>
        <v>-0.0211790421489771</v>
      </c>
      <c r="E12" s="26" t="s">
        <v>69</v>
      </c>
    </row>
    <row r="13" customFormat="false" ht="15" hidden="false" customHeight="false" outlineLevel="0" collapsed="false">
      <c r="A13" s="15" t="n">
        <v>1975</v>
      </c>
      <c r="B13" s="16" t="n">
        <f aca="false">SUMIFS(Band_TimeSeries!$G$2:$G$721,Band_TimeSeries!$A$2:$A$721,1974,Band_TimeSeries!$B$2:$B$721,3)</f>
        <v>0.00675035735265133</v>
      </c>
      <c r="C13" s="16" t="n">
        <f aca="false">SUMIFS(Band_TimeSeries!$G$2:$G$721,Band_TimeSeries!$A$2:$A$721,1974,Band_TimeSeries!$B$2:$B$721,7)</f>
        <v>-0.00746052322701507</v>
      </c>
      <c r="D13" s="17" t="n">
        <f aca="false">B13-C13</f>
        <v>0.0142108805796664</v>
      </c>
      <c r="E13" s="18" t="s">
        <v>67</v>
      </c>
    </row>
    <row r="14" customFormat="false" ht="15" hidden="false" customHeight="false" outlineLevel="0" collapsed="false">
      <c r="A14" s="19" t="n">
        <v>1976</v>
      </c>
      <c r="B14" s="20" t="n">
        <f aca="false">SUMIFS(Band_TimeSeries!$G$2:$G$721,Band_TimeSeries!$A$2:$A$721,1975,Band_TimeSeries!$B$2:$B$721,3)</f>
        <v>0.00300241845404621</v>
      </c>
      <c r="C14" s="20" t="n">
        <f aca="false">SUMIFS(Band_TimeSeries!$G$2:$G$721,Band_TimeSeries!$A$2:$A$721,1975,Band_TimeSeries!$B$2:$B$721,7)</f>
        <v>-0.0219627503918812</v>
      </c>
      <c r="D14" s="21" t="n">
        <f aca="false">B14-C14</f>
        <v>0.0249651688459274</v>
      </c>
      <c r="E14" s="22" t="s">
        <v>68</v>
      </c>
    </row>
    <row r="15" customFormat="false" ht="15" hidden="false" customHeight="false" outlineLevel="0" collapsed="false">
      <c r="A15" s="23" t="n">
        <v>1977</v>
      </c>
      <c r="B15" s="24" t="n">
        <f aca="false">SUMIFS(Band_TimeSeries!$G$2:$G$721,Band_TimeSeries!$A$2:$A$721,1976,Band_TimeSeries!$B$2:$B$721,3)</f>
        <v>-0.0260903579145378</v>
      </c>
      <c r="C15" s="24" t="n">
        <f aca="false">SUMIFS(Band_TimeSeries!$G$2:$G$721,Band_TimeSeries!$A$2:$A$721,1976,Band_TimeSeries!$B$2:$B$721,7)</f>
        <v>0.0198949324842772</v>
      </c>
      <c r="D15" s="25" t="n">
        <f aca="false">B15-C15</f>
        <v>-0.0459852903988149</v>
      </c>
      <c r="E15" s="26" t="s">
        <v>69</v>
      </c>
    </row>
    <row r="16" customFormat="false" ht="15" hidden="false" customHeight="false" outlineLevel="0" collapsed="false">
      <c r="A16" s="23" t="n">
        <v>1978</v>
      </c>
      <c r="B16" s="24" t="n">
        <f aca="false">SUMIFS(Band_TimeSeries!$G$2:$G$721,Band_TimeSeries!$A$2:$A$721,1977,Band_TimeSeries!$B$2:$B$721,3)</f>
        <v>0.0438102684068273</v>
      </c>
      <c r="C16" s="24" t="n">
        <f aca="false">SUMIFS(Band_TimeSeries!$G$2:$G$721,Band_TimeSeries!$A$2:$A$721,1977,Band_TimeSeries!$B$2:$B$721,7)</f>
        <v>-0.0275357944365482</v>
      </c>
      <c r="D16" s="25" t="n">
        <f aca="false">B16-C16</f>
        <v>0.0713460628433755</v>
      </c>
      <c r="E16" s="26" t="s">
        <v>69</v>
      </c>
    </row>
    <row r="17" customFormat="false" ht="15" hidden="false" customHeight="false" outlineLevel="0" collapsed="false">
      <c r="A17" s="23" t="n">
        <v>1979</v>
      </c>
      <c r="B17" s="24" t="n">
        <f aca="false">SUMIFS(Band_TimeSeries!$G$2:$G$721,Band_TimeSeries!$A$2:$A$721,1978,Band_TimeSeries!$B$2:$B$721,3)</f>
        <v>0.0952033894388214</v>
      </c>
      <c r="C17" s="24" t="n">
        <f aca="false">SUMIFS(Band_TimeSeries!$G$2:$G$721,Band_TimeSeries!$A$2:$A$721,1978,Band_TimeSeries!$B$2:$B$721,7)</f>
        <v>-0.132533135957276</v>
      </c>
      <c r="D17" s="25" t="n">
        <f aca="false">B17-C17</f>
        <v>0.227736525396097</v>
      </c>
      <c r="E17" s="26" t="s">
        <v>69</v>
      </c>
    </row>
    <row r="18" customFormat="false" ht="15" hidden="false" customHeight="false" outlineLevel="0" collapsed="false">
      <c r="A18" s="23" t="n">
        <v>1980</v>
      </c>
      <c r="B18" s="24" t="n">
        <f aca="false">SUMIFS(Band_TimeSeries!$G$2:$G$721,Band_TimeSeries!$A$2:$A$721,1979,Band_TimeSeries!$B$2:$B$721,3)</f>
        <v>-0.080367672613407</v>
      </c>
      <c r="C18" s="24" t="n">
        <f aca="false">SUMIFS(Band_TimeSeries!$G$2:$G$721,Band_TimeSeries!$A$2:$A$721,1979,Band_TimeSeries!$B$2:$B$721,7)</f>
        <v>0.0189861463053796</v>
      </c>
      <c r="D18" s="25" t="n">
        <f aca="false">B18-C18</f>
        <v>-0.0993538189187867</v>
      </c>
      <c r="E18" s="26" t="s">
        <v>69</v>
      </c>
    </row>
    <row r="19" customFormat="false" ht="15" hidden="false" customHeight="false" outlineLevel="0" collapsed="false">
      <c r="A19" s="23" t="n">
        <v>1981</v>
      </c>
      <c r="B19" s="24" t="n">
        <f aca="false">SUMIFS(Band_TimeSeries!$G$2:$G$721,Band_TimeSeries!$A$2:$A$721,1980,Band_TimeSeries!$B$2:$B$721,3)</f>
        <v>-0.0680618204886926</v>
      </c>
      <c r="C19" s="24" t="n">
        <f aca="false">SUMIFS(Band_TimeSeries!$G$2:$G$721,Band_TimeSeries!$A$2:$A$721,1980,Band_TimeSeries!$B$2:$B$721,7)</f>
        <v>0.0652575471572866</v>
      </c>
      <c r="D19" s="25" t="n">
        <f aca="false">B19-C19</f>
        <v>-0.133319367645979</v>
      </c>
      <c r="E19" s="26" t="s">
        <v>69</v>
      </c>
    </row>
    <row r="20" customFormat="false" ht="15" hidden="false" customHeight="false" outlineLevel="0" collapsed="false">
      <c r="A20" s="19" t="n">
        <v>1982</v>
      </c>
      <c r="B20" s="20" t="n">
        <f aca="false">SUMIFS(Band_TimeSeries!$G$2:$G$721,Band_TimeSeries!$A$2:$A$721,1981,Band_TimeSeries!$B$2:$B$721,3)</f>
        <v>0.00964574823438649</v>
      </c>
      <c r="C20" s="20" t="n">
        <f aca="false">SUMIFS(Band_TimeSeries!$G$2:$G$721,Band_TimeSeries!$A$2:$A$721,1981,Band_TimeSeries!$B$2:$B$721,7)</f>
        <v>0.00939353536595084</v>
      </c>
      <c r="D20" s="21" t="n">
        <f aca="false">B20-C20</f>
        <v>0.00025221286843565</v>
      </c>
      <c r="E20" s="22" t="s">
        <v>68</v>
      </c>
    </row>
    <row r="21" customFormat="false" ht="15" hidden="false" customHeight="false" outlineLevel="0" collapsed="false">
      <c r="A21" s="23" t="n">
        <v>1983</v>
      </c>
      <c r="B21" s="24" t="n">
        <f aca="false">SUMIFS(Band_TimeSeries!$G$2:$G$721,Band_TimeSeries!$A$2:$A$721,1982,Band_TimeSeries!$B$2:$B$721,3)</f>
        <v>-0.00658372167856561</v>
      </c>
      <c r="C21" s="24" t="n">
        <f aca="false">SUMIFS(Band_TimeSeries!$G$2:$G$721,Band_TimeSeries!$A$2:$A$721,1982,Band_TimeSeries!$B$2:$B$721,7)</f>
        <v>0.0468661207869716</v>
      </c>
      <c r="D21" s="25" t="n">
        <f aca="false">B21-C21</f>
        <v>-0.0534498424655372</v>
      </c>
      <c r="E21" s="26" t="s">
        <v>69</v>
      </c>
    </row>
    <row r="22" customFormat="false" ht="15" hidden="false" customHeight="false" outlineLevel="0" collapsed="false">
      <c r="A22" s="15" t="n">
        <v>1984</v>
      </c>
      <c r="B22" s="16" t="n">
        <f aca="false">SUMIFS(Band_TimeSeries!$G$2:$G$721,Band_TimeSeries!$A$2:$A$721,1983,Band_TimeSeries!$B$2:$B$721,3)</f>
        <v>0.123965565994916</v>
      </c>
      <c r="C22" s="16" t="n">
        <f aca="false">SUMIFS(Band_TimeSeries!$G$2:$G$721,Band_TimeSeries!$A$2:$A$721,1983,Band_TimeSeries!$B$2:$B$721,7)</f>
        <v>-0.135406316570542</v>
      </c>
      <c r="D22" s="17" t="n">
        <f aca="false">B22-C22</f>
        <v>0.259371882565457</v>
      </c>
      <c r="E22" s="18" t="s">
        <v>67</v>
      </c>
    </row>
    <row r="23" customFormat="false" ht="15" hidden="false" customHeight="false" outlineLevel="0" collapsed="false">
      <c r="A23" s="23" t="n">
        <v>1985</v>
      </c>
      <c r="B23" s="24" t="n">
        <f aca="false">SUMIFS(Band_TimeSeries!$G$2:$G$721,Band_TimeSeries!$A$2:$A$721,1984,Band_TimeSeries!$B$2:$B$721,3)</f>
        <v>-0.0839503392781126</v>
      </c>
      <c r="C23" s="24" t="n">
        <f aca="false">SUMIFS(Band_TimeSeries!$G$2:$G$721,Band_TimeSeries!$A$2:$A$721,1984,Band_TimeSeries!$B$2:$B$721,7)</f>
        <v>0.0322890784411427</v>
      </c>
      <c r="D23" s="25" t="n">
        <f aca="false">B23-C23</f>
        <v>-0.116239417719255</v>
      </c>
      <c r="E23" s="26" t="s">
        <v>69</v>
      </c>
    </row>
    <row r="24" customFormat="false" ht="15" hidden="false" customHeight="false" outlineLevel="0" collapsed="false">
      <c r="A24" s="19" t="n">
        <v>1986</v>
      </c>
      <c r="B24" s="20" t="n">
        <f aca="false">SUMIFS(Band_TimeSeries!$G$2:$G$721,Band_TimeSeries!$A$2:$A$721,1985,Band_TimeSeries!$B$2:$B$721,3)</f>
        <v>0.0075342017181601</v>
      </c>
      <c r="C24" s="20" t="n">
        <f aca="false">SUMIFS(Band_TimeSeries!$G$2:$G$721,Band_TimeSeries!$A$2:$A$721,1985,Band_TimeSeries!$B$2:$B$721,7)</f>
        <v>-0.047784709011664</v>
      </c>
      <c r="D24" s="21" t="n">
        <f aca="false">B24-C24</f>
        <v>0.0553189107298241</v>
      </c>
      <c r="E24" s="22" t="s">
        <v>68</v>
      </c>
    </row>
    <row r="25" customFormat="false" ht="15" hidden="false" customHeight="false" outlineLevel="0" collapsed="false">
      <c r="A25" s="19" t="n">
        <v>1987</v>
      </c>
      <c r="B25" s="20" t="n">
        <f aca="false">SUMIFS(Band_TimeSeries!$G$2:$G$721,Band_TimeSeries!$A$2:$A$721,1986,Band_TimeSeries!$B$2:$B$721,3)</f>
        <v>-0.0976491258275025</v>
      </c>
      <c r="C25" s="20" t="n">
        <f aca="false">SUMIFS(Band_TimeSeries!$G$2:$G$721,Band_TimeSeries!$A$2:$A$721,1986,Band_TimeSeries!$B$2:$B$721,7)</f>
        <v>0.0835205428317155</v>
      </c>
      <c r="D25" s="21" t="n">
        <f aca="false">B25-C25</f>
        <v>-0.181169668659218</v>
      </c>
      <c r="E25" s="22" t="s">
        <v>68</v>
      </c>
    </row>
    <row r="26" customFormat="false" ht="15" hidden="false" customHeight="false" outlineLevel="0" collapsed="false">
      <c r="A26" s="15" t="n">
        <v>1988</v>
      </c>
      <c r="B26" s="16" t="n">
        <f aca="false">SUMIFS(Band_TimeSeries!$G$2:$G$721,Band_TimeSeries!$A$2:$A$721,1987,Band_TimeSeries!$B$2:$B$721,3)</f>
        <v>0.0507353033070243</v>
      </c>
      <c r="C26" s="16" t="n">
        <f aca="false">SUMIFS(Band_TimeSeries!$G$2:$G$721,Band_TimeSeries!$A$2:$A$721,1987,Band_TimeSeries!$B$2:$B$721,7)</f>
        <v>-0.0347744046856021</v>
      </c>
      <c r="D26" s="17" t="n">
        <f aca="false">B26-C26</f>
        <v>0.0855097079926263</v>
      </c>
      <c r="E26" s="18" t="s">
        <v>67</v>
      </c>
    </row>
    <row r="27" customFormat="false" ht="15" hidden="false" customHeight="false" outlineLevel="0" collapsed="false">
      <c r="A27" s="23" t="n">
        <v>1989</v>
      </c>
      <c r="B27" s="24" t="n">
        <f aca="false">SUMIFS(Band_TimeSeries!$G$2:$G$721,Band_TimeSeries!$A$2:$A$721,1988,Band_TimeSeries!$B$2:$B$721,3)</f>
        <v>0.0263594951937104</v>
      </c>
      <c r="C27" s="24" t="n">
        <f aca="false">SUMIFS(Band_TimeSeries!$G$2:$G$721,Band_TimeSeries!$A$2:$A$721,1988,Band_TimeSeries!$B$2:$B$721,7)</f>
        <v>-0.0685957638610287</v>
      </c>
      <c r="D27" s="25" t="n">
        <f aca="false">B27-C27</f>
        <v>0.0949552590547392</v>
      </c>
      <c r="E27" s="26" t="s">
        <v>69</v>
      </c>
    </row>
    <row r="28" customFormat="false" ht="15" hidden="false" customHeight="false" outlineLevel="0" collapsed="false">
      <c r="A28" s="23" t="n">
        <v>1990</v>
      </c>
      <c r="B28" s="24" t="n">
        <f aca="false">SUMIFS(Band_TimeSeries!$G$2:$G$721,Band_TimeSeries!$A$2:$A$721,1989,Band_TimeSeries!$B$2:$B$721,3)</f>
        <v>-0.100002419924807</v>
      </c>
      <c r="C28" s="24" t="n">
        <f aca="false">SUMIFS(Band_TimeSeries!$G$2:$G$721,Band_TimeSeries!$A$2:$A$721,1989,Band_TimeSeries!$B$2:$B$721,7)</f>
        <v>0.0763145600876003</v>
      </c>
      <c r="D28" s="25" t="n">
        <f aca="false">B28-C28</f>
        <v>-0.176316980012407</v>
      </c>
      <c r="E28" s="26" t="s">
        <v>69</v>
      </c>
    </row>
    <row r="29" customFormat="false" ht="15" hidden="false" customHeight="false" outlineLevel="0" collapsed="false">
      <c r="A29" s="19" t="n">
        <v>1991</v>
      </c>
      <c r="B29" s="20" t="n">
        <f aca="false">SUMIFS(Band_TimeSeries!$G$2:$G$721,Band_TimeSeries!$A$2:$A$721,1990,Band_TimeSeries!$B$2:$B$721,3)</f>
        <v>0.00489593323367338</v>
      </c>
      <c r="C29" s="20" t="n">
        <f aca="false">SUMIFS(Band_TimeSeries!$G$2:$G$721,Band_TimeSeries!$A$2:$A$721,1990,Band_TimeSeries!$B$2:$B$721,7)</f>
        <v>0.0225910401009307</v>
      </c>
      <c r="D29" s="21" t="n">
        <f aca="false">B29-C29</f>
        <v>-0.0176951068672573</v>
      </c>
      <c r="E29" s="22" t="s">
        <v>68</v>
      </c>
    </row>
    <row r="30" customFormat="false" ht="15" hidden="false" customHeight="false" outlineLevel="0" collapsed="false">
      <c r="A30" s="23" t="n">
        <v>1992</v>
      </c>
      <c r="B30" s="24" t="n">
        <f aca="false">SUMIFS(Band_TimeSeries!$G$2:$G$721,Band_TimeSeries!$A$2:$A$721,1991,Band_TimeSeries!$B$2:$B$721,3)</f>
        <v>-0.00562810833547878</v>
      </c>
      <c r="C30" s="24" t="n">
        <f aca="false">SUMIFS(Band_TimeSeries!$G$2:$G$721,Band_TimeSeries!$A$2:$A$721,1991,Band_TimeSeries!$B$2:$B$721,7)</f>
        <v>0.0571011899804105</v>
      </c>
      <c r="D30" s="25" t="n">
        <f aca="false">B30-C30</f>
        <v>-0.0627292983158893</v>
      </c>
      <c r="E30" s="26" t="s">
        <v>69</v>
      </c>
    </row>
    <row r="31" customFormat="false" ht="15" hidden="false" customHeight="false" outlineLevel="0" collapsed="false">
      <c r="A31" s="23" t="n">
        <v>1993</v>
      </c>
      <c r="B31" s="24" t="n">
        <f aca="false">SUMIFS(Band_TimeSeries!$G$2:$G$721,Band_TimeSeries!$A$2:$A$721,1992,Band_TimeSeries!$B$2:$B$721,3)</f>
        <v>0.0944575562082856</v>
      </c>
      <c r="C31" s="24" t="n">
        <f aca="false">SUMIFS(Band_TimeSeries!$G$2:$G$721,Band_TimeSeries!$A$2:$A$721,1992,Band_TimeSeries!$B$2:$B$721,7)</f>
        <v>-0.0508974537346891</v>
      </c>
      <c r="D31" s="25" t="n">
        <f aca="false">B31-C31</f>
        <v>0.145355009942975</v>
      </c>
      <c r="E31" s="26" t="s">
        <v>69</v>
      </c>
    </row>
    <row r="32" customFormat="false" ht="15" hidden="false" customHeight="false" outlineLevel="0" collapsed="false">
      <c r="A32" s="19" t="n">
        <v>1994</v>
      </c>
      <c r="B32" s="20" t="n">
        <f aca="false">SUMIFS(Band_TimeSeries!$G$2:$G$721,Band_TimeSeries!$A$2:$A$721,1993,Band_TimeSeries!$B$2:$B$721,3)</f>
        <v>0.0236334966231437</v>
      </c>
      <c r="C32" s="20" t="n">
        <f aca="false">SUMIFS(Band_TimeSeries!$G$2:$G$721,Band_TimeSeries!$A$2:$A$721,1993,Band_TimeSeries!$B$2:$B$721,7)</f>
        <v>-0.00795795686694525</v>
      </c>
      <c r="D32" s="21" t="n">
        <f aca="false">B32-C32</f>
        <v>0.031591453490089</v>
      </c>
      <c r="E32" s="22" t="s">
        <v>68</v>
      </c>
    </row>
    <row r="33" customFormat="false" ht="15" hidden="false" customHeight="false" outlineLevel="0" collapsed="false">
      <c r="A33" s="23" t="n">
        <v>1995</v>
      </c>
      <c r="B33" s="24" t="n">
        <f aca="false">SUMIFS(Band_TimeSeries!$G$2:$G$721,Band_TimeSeries!$A$2:$A$721,1994,Band_TimeSeries!$B$2:$B$721,3)</f>
        <v>0.0635124357364686</v>
      </c>
      <c r="C33" s="24" t="n">
        <f aca="false">SUMIFS(Band_TimeSeries!$G$2:$G$721,Band_TimeSeries!$A$2:$A$721,1994,Band_TimeSeries!$B$2:$B$721,7)</f>
        <v>-0.0599292505143696</v>
      </c>
      <c r="D33" s="25" t="n">
        <f aca="false">B33-C33</f>
        <v>0.123441686250838</v>
      </c>
      <c r="E33" s="26" t="s">
        <v>69</v>
      </c>
    </row>
    <row r="34" customFormat="false" ht="15" hidden="false" customHeight="false" outlineLevel="0" collapsed="false">
      <c r="A34" s="15" t="n">
        <v>1996</v>
      </c>
      <c r="B34" s="16" t="n">
        <f aca="false">SUMIFS(Band_TimeSeries!$G$2:$G$721,Band_TimeSeries!$A$2:$A$721,1995,Band_TimeSeries!$B$2:$B$721,3)</f>
        <v>0.0515466363129477</v>
      </c>
      <c r="C34" s="16" t="n">
        <f aca="false">SUMIFS(Band_TimeSeries!$G$2:$G$721,Band_TimeSeries!$A$2:$A$721,1995,Band_TimeSeries!$B$2:$B$721,7)</f>
        <v>-0.114838074608496</v>
      </c>
      <c r="D34" s="17" t="n">
        <f aca="false">B34-C34</f>
        <v>0.166384710921444</v>
      </c>
      <c r="E34" s="18" t="s">
        <v>67</v>
      </c>
    </row>
    <row r="35" customFormat="false" ht="15" hidden="false" customHeight="false" outlineLevel="0" collapsed="false">
      <c r="A35" s="19" t="n">
        <v>1997</v>
      </c>
      <c r="B35" s="20" t="n">
        <f aca="false">SUMIFS(Band_TimeSeries!$G$2:$G$721,Band_TimeSeries!$A$2:$A$721,1996,Band_TimeSeries!$B$2:$B$721,3)</f>
        <v>-0.142029627877908</v>
      </c>
      <c r="C35" s="20" t="n">
        <f aca="false">SUMIFS(Band_TimeSeries!$G$2:$G$721,Band_TimeSeries!$A$2:$A$721,1996,Band_TimeSeries!$B$2:$B$721,7)</f>
        <v>0.109349337991036</v>
      </c>
      <c r="D35" s="21" t="n">
        <f aca="false">B35-C35</f>
        <v>-0.251378965868945</v>
      </c>
      <c r="E35" s="22" t="s">
        <v>68</v>
      </c>
    </row>
    <row r="36" customFormat="false" ht="15" hidden="false" customHeight="false" outlineLevel="0" collapsed="false">
      <c r="A36" s="15" t="n">
        <v>1998</v>
      </c>
      <c r="B36" s="16" t="n">
        <f aca="false">SUMIFS(Band_TimeSeries!$G$2:$G$721,Band_TimeSeries!$A$2:$A$721,1997,Band_TimeSeries!$B$2:$B$721,3)</f>
        <v>0.0272970380043857</v>
      </c>
      <c r="C36" s="16" t="n">
        <f aca="false">SUMIFS(Band_TimeSeries!$G$2:$G$721,Band_TimeSeries!$A$2:$A$721,1997,Band_TimeSeries!$B$2:$B$721,7)</f>
        <v>0.0369538661840823</v>
      </c>
      <c r="D36" s="17" t="n">
        <f aca="false">B36-C36</f>
        <v>-0.00965682817969657</v>
      </c>
      <c r="E36" s="18" t="s">
        <v>67</v>
      </c>
    </row>
    <row r="37" customFormat="false" ht="15" hidden="false" customHeight="false" outlineLevel="0" collapsed="false">
      <c r="A37" s="15" t="n">
        <v>1999</v>
      </c>
      <c r="B37" s="16" t="n">
        <f aca="false">SUMIFS(Band_TimeSeries!$G$2:$G$721,Band_TimeSeries!$A$2:$A$721,1998,Band_TimeSeries!$B$2:$B$721,3)</f>
        <v>0.184005135146272</v>
      </c>
      <c r="C37" s="16" t="n">
        <f aca="false">SUMIFS(Band_TimeSeries!$G$2:$G$721,Band_TimeSeries!$A$2:$A$721,1998,Band_TimeSeries!$B$2:$B$721,7)</f>
        <v>-0.207949905880239</v>
      </c>
      <c r="D37" s="17" t="n">
        <f aca="false">B37-C37</f>
        <v>0.391955041026511</v>
      </c>
      <c r="E37" s="18" t="s">
        <v>67</v>
      </c>
    </row>
    <row r="38" customFormat="false" ht="15" hidden="false" customHeight="false" outlineLevel="0" collapsed="false">
      <c r="A38" s="23" t="n">
        <v>2000</v>
      </c>
      <c r="B38" s="24" t="n">
        <f aca="false">SUMIFS(Band_TimeSeries!$G$2:$G$721,Band_TimeSeries!$A$2:$A$721,1999,Band_TimeSeries!$B$2:$B$721,3)</f>
        <v>-0.093010834024227</v>
      </c>
      <c r="C38" s="24" t="n">
        <f aca="false">SUMIFS(Band_TimeSeries!$G$2:$G$721,Band_TimeSeries!$A$2:$A$721,1999,Band_TimeSeries!$B$2:$B$721,7)</f>
        <v>-0.0203608387460959</v>
      </c>
      <c r="D38" s="25" t="n">
        <f aca="false">B38-C38</f>
        <v>-0.0726499952781311</v>
      </c>
      <c r="E38" s="26" t="s">
        <v>69</v>
      </c>
    </row>
    <row r="39" customFormat="false" ht="15" hidden="false" customHeight="false" outlineLevel="0" collapsed="false">
      <c r="A39" s="23" t="n">
        <v>2001</v>
      </c>
      <c r="B39" s="24" t="n">
        <f aca="false">SUMIFS(Band_TimeSeries!$G$2:$G$721,Band_TimeSeries!$A$2:$A$721,2000,Band_TimeSeries!$B$2:$B$721,3)</f>
        <v>-0.156061036457964</v>
      </c>
      <c r="C39" s="24" t="n">
        <f aca="false">SUMIFS(Band_TimeSeries!$G$2:$G$721,Band_TimeSeries!$A$2:$A$721,2000,Band_TimeSeries!$B$2:$B$721,7)</f>
        <v>0.114991180215394</v>
      </c>
      <c r="D39" s="25" t="n">
        <f aca="false">B39-C39</f>
        <v>-0.271052216673359</v>
      </c>
      <c r="E39" s="26" t="s">
        <v>69</v>
      </c>
    </row>
    <row r="40" customFormat="false" ht="15" hidden="false" customHeight="false" outlineLevel="0" collapsed="false">
      <c r="A40" s="19" t="n">
        <v>2002</v>
      </c>
      <c r="B40" s="20" t="n">
        <f aca="false">SUMIFS(Band_TimeSeries!$G$2:$G$721,Band_TimeSeries!$A$2:$A$721,2001,Band_TimeSeries!$B$2:$B$721,3)</f>
        <v>-0.0193566847335302</v>
      </c>
      <c r="C40" s="20" t="n">
        <f aca="false">SUMIFS(Band_TimeSeries!$G$2:$G$721,Band_TimeSeries!$A$2:$A$721,2001,Band_TimeSeries!$B$2:$B$721,7)</f>
        <v>0.0275090015750527</v>
      </c>
      <c r="D40" s="21" t="n">
        <f aca="false">B40-C40</f>
        <v>-0.0468656863085829</v>
      </c>
      <c r="E40" s="22" t="s">
        <v>68</v>
      </c>
    </row>
    <row r="41" customFormat="false" ht="15" hidden="false" customHeight="false" outlineLevel="0" collapsed="false">
      <c r="A41" s="19" t="n">
        <v>2003</v>
      </c>
      <c r="B41" s="20" t="n">
        <f aca="false">SUMIFS(Band_TimeSeries!$G$2:$G$721,Band_TimeSeries!$A$2:$A$721,2002,Band_TimeSeries!$B$2:$B$721,3)</f>
        <v>-0.0439157735138316</v>
      </c>
      <c r="C41" s="20" t="n">
        <f aca="false">SUMIFS(Band_TimeSeries!$G$2:$G$721,Band_TimeSeries!$A$2:$A$721,2002,Band_TimeSeries!$B$2:$B$721,7)</f>
        <v>0.0562743822853992</v>
      </c>
      <c r="D41" s="21" t="n">
        <f aca="false">B41-C41</f>
        <v>-0.100190155799231</v>
      </c>
      <c r="E41" s="22" t="s">
        <v>68</v>
      </c>
    </row>
    <row r="42" customFormat="false" ht="15" hidden="false" customHeight="false" outlineLevel="0" collapsed="false">
      <c r="A42" s="23" t="n">
        <v>2004</v>
      </c>
      <c r="B42" s="24" t="n">
        <f aca="false">SUMIFS(Band_TimeSeries!$G$2:$G$721,Band_TimeSeries!$A$2:$A$721,2003,Band_TimeSeries!$B$2:$B$721,3)</f>
        <v>-0.0237308758656201</v>
      </c>
      <c r="C42" s="24" t="n">
        <f aca="false">SUMIFS(Band_TimeSeries!$G$2:$G$721,Band_TimeSeries!$A$2:$A$721,2003,Band_TimeSeries!$B$2:$B$721,7)</f>
        <v>0.0554709811948465</v>
      </c>
      <c r="D42" s="25" t="n">
        <f aca="false">B42-C42</f>
        <v>-0.0792018570604665</v>
      </c>
      <c r="E42" s="26" t="s">
        <v>69</v>
      </c>
    </row>
    <row r="43" customFormat="false" ht="15" hidden="false" customHeight="false" outlineLevel="0" collapsed="false">
      <c r="A43" s="23" t="n">
        <v>2005</v>
      </c>
      <c r="B43" s="24" t="n">
        <f aca="false">SUMIFS(Band_TimeSeries!$G$2:$G$721,Band_TimeSeries!$A$2:$A$721,2004,Band_TimeSeries!$B$2:$B$721,3)</f>
        <v>-0.0102074314081475</v>
      </c>
      <c r="C43" s="24" t="n">
        <f aca="false">SUMIFS(Band_TimeSeries!$G$2:$G$721,Band_TimeSeries!$A$2:$A$721,2004,Band_TimeSeries!$B$2:$B$721,7)</f>
        <v>0.0650709231535017</v>
      </c>
      <c r="D43" s="25" t="n">
        <f aca="false">B43-C43</f>
        <v>-0.0752783545616493</v>
      </c>
      <c r="E43" s="26" t="s">
        <v>69</v>
      </c>
    </row>
    <row r="44" customFormat="false" ht="15" hidden="false" customHeight="false" outlineLevel="0" collapsed="false">
      <c r="A44" s="19" t="n">
        <v>2006</v>
      </c>
      <c r="B44" s="20" t="n">
        <f aca="false">SUMIFS(Band_TimeSeries!$G$2:$G$721,Band_TimeSeries!$A$2:$A$721,2005,Band_TimeSeries!$B$2:$B$721,3)</f>
        <v>0.0673719080050686</v>
      </c>
      <c r="C44" s="20" t="n">
        <f aca="false">SUMIFS(Band_TimeSeries!$G$2:$G$721,Band_TimeSeries!$A$2:$A$721,2005,Band_TimeSeries!$B$2:$B$721,7)</f>
        <v>-0.0286976303772735</v>
      </c>
      <c r="D44" s="21" t="n">
        <f aca="false">B44-C44</f>
        <v>0.0960695383823421</v>
      </c>
      <c r="E44" s="22" t="s">
        <v>68</v>
      </c>
    </row>
    <row r="45" customFormat="false" ht="15" hidden="false" customHeight="false" outlineLevel="0" collapsed="false">
      <c r="A45" s="15" t="n">
        <v>2007</v>
      </c>
      <c r="B45" s="16" t="n">
        <f aca="false">SUMIFS(Band_TimeSeries!$G$2:$G$721,Band_TimeSeries!$A$2:$A$721,2006,Band_TimeSeries!$B$2:$B$721,3)</f>
        <v>0.00575508140114117</v>
      </c>
      <c r="C45" s="16" t="n">
        <f aca="false">SUMIFS(Band_TimeSeries!$G$2:$G$721,Band_TimeSeries!$A$2:$A$721,2006,Band_TimeSeries!$B$2:$B$721,7)</f>
        <v>-0.00457725436343093</v>
      </c>
      <c r="D45" s="17" t="n">
        <f aca="false">B45-C45</f>
        <v>0.0103323357645721</v>
      </c>
      <c r="E45" s="18" t="s">
        <v>67</v>
      </c>
    </row>
    <row r="46" customFormat="false" ht="15" hidden="false" customHeight="false" outlineLevel="0" collapsed="false">
      <c r="A46" s="23" t="n">
        <v>2008</v>
      </c>
      <c r="B46" s="24" t="n">
        <f aca="false">SUMIFS(Band_TimeSeries!$G$2:$G$721,Band_TimeSeries!$A$2:$A$721,2007,Band_TimeSeries!$B$2:$B$721,3)</f>
        <v>-0.0111800165123266</v>
      </c>
      <c r="C46" s="24" t="n">
        <f aca="false">SUMIFS(Band_TimeSeries!$G$2:$G$721,Band_TimeSeries!$A$2:$A$721,2007,Band_TimeSeries!$B$2:$B$721,7)</f>
        <v>-0.0135844440963794</v>
      </c>
      <c r="D46" s="25" t="n">
        <f aca="false">B46-C46</f>
        <v>0.00240442758405278</v>
      </c>
      <c r="E46" s="26" t="s">
        <v>69</v>
      </c>
    </row>
    <row r="47" customFormat="false" ht="15" hidden="false" customHeight="false" outlineLevel="0" collapsed="false">
      <c r="A47" s="19" t="n">
        <v>2009</v>
      </c>
      <c r="B47" s="20" t="n">
        <f aca="false">SUMIFS(Band_TimeSeries!$G$2:$G$721,Band_TimeSeries!$A$2:$A$721,2008,Band_TimeSeries!$B$2:$B$721,3)</f>
        <v>-0.083677094363329</v>
      </c>
      <c r="C47" s="20" t="n">
        <f aca="false">SUMIFS(Band_TimeSeries!$G$2:$G$721,Band_TimeSeries!$A$2:$A$721,2008,Band_TimeSeries!$B$2:$B$721,7)</f>
        <v>0.0620777629313009</v>
      </c>
      <c r="D47" s="21" t="n">
        <f aca="false">B47-C47</f>
        <v>-0.14575485729463</v>
      </c>
      <c r="E47" s="22" t="s">
        <v>68</v>
      </c>
    </row>
    <row r="48" customFormat="false" ht="15" hidden="false" customHeight="false" outlineLevel="0" collapsed="false">
      <c r="A48" s="15" t="n">
        <v>2010</v>
      </c>
      <c r="B48" s="16" t="n">
        <f aca="false">SUMIFS(Band_TimeSeries!$G$2:$G$721,Band_TimeSeries!$A$2:$A$721,2009,Band_TimeSeries!$B$2:$B$721,3)</f>
        <v>-0.0658978609953138</v>
      </c>
      <c r="C48" s="16" t="n">
        <f aca="false">SUMIFS(Band_TimeSeries!$G$2:$G$721,Band_TimeSeries!$A$2:$A$721,2009,Band_TimeSeries!$B$2:$B$721,7)</f>
        <v>0.114178844889003</v>
      </c>
      <c r="D48" s="17" t="n">
        <f aca="false">B48-C48</f>
        <v>-0.180076705884316</v>
      </c>
      <c r="E48" s="18" t="s">
        <v>67</v>
      </c>
    </row>
    <row r="49" customFormat="false" ht="15" hidden="false" customHeight="false" outlineLevel="0" collapsed="false">
      <c r="A49" s="23" t="n">
        <v>2011</v>
      </c>
      <c r="B49" s="24" t="n">
        <f aca="false">SUMIFS(Band_TimeSeries!$G$2:$G$721,Band_TimeSeries!$A$2:$A$721,2010,Band_TimeSeries!$B$2:$B$721,3)</f>
        <v>0.151352530992167</v>
      </c>
      <c r="C49" s="24" t="n">
        <f aca="false">SUMIFS(Band_TimeSeries!$G$2:$G$721,Band_TimeSeries!$A$2:$A$721,2010,Band_TimeSeries!$B$2:$B$721,7)</f>
        <v>-0.134345623738843</v>
      </c>
      <c r="D49" s="25" t="n">
        <f aca="false">B49-C49</f>
        <v>0.28569815473101</v>
      </c>
      <c r="E49" s="26" t="s">
        <v>69</v>
      </c>
    </row>
    <row r="50" customFormat="false" ht="15" hidden="false" customHeight="false" outlineLevel="0" collapsed="false">
      <c r="A50" s="23" t="n">
        <v>2012</v>
      </c>
      <c r="B50" s="24" t="n">
        <f aca="false">SUMIFS(Band_TimeSeries!$G$2:$G$721,Band_TimeSeries!$A$2:$A$721,2011,Band_TimeSeries!$B$2:$B$721,3)</f>
        <v>-0.0311356686231842</v>
      </c>
      <c r="C50" s="24" t="n">
        <f aca="false">SUMIFS(Band_TimeSeries!$G$2:$G$721,Band_TimeSeries!$A$2:$A$721,2011,Band_TimeSeries!$B$2:$B$721,7)</f>
        <v>-0.0200322256532106</v>
      </c>
      <c r="D50" s="25" t="n">
        <f aca="false">B50-C50</f>
        <v>-0.0111034429699736</v>
      </c>
      <c r="E50" s="26" t="s">
        <v>69</v>
      </c>
    </row>
    <row r="51" customFormat="false" ht="15" hidden="false" customHeight="false" outlineLevel="0" collapsed="false">
      <c r="A51" s="23" t="n">
        <v>2013</v>
      </c>
      <c r="B51" s="24" t="n">
        <f aca="false">SUMIFS(Band_TimeSeries!$G$2:$G$721,Band_TimeSeries!$A$2:$A$721,2012,Band_TimeSeries!$B$2:$B$721,3)</f>
        <v>-0.0607042791211933</v>
      </c>
      <c r="C51" s="24" t="n">
        <f aca="false">SUMIFS(Band_TimeSeries!$G$2:$G$721,Band_TimeSeries!$A$2:$A$721,2012,Band_TimeSeries!$B$2:$B$721,7)</f>
        <v>0.0661233166653636</v>
      </c>
      <c r="D51" s="25" t="n">
        <f aca="false">B51-C51</f>
        <v>-0.126827595786557</v>
      </c>
      <c r="E51" s="26" t="s">
        <v>69</v>
      </c>
    </row>
    <row r="52" customFormat="false" ht="15" hidden="false" customHeight="false" outlineLevel="0" collapsed="false">
      <c r="A52" s="23" t="n">
        <v>2014</v>
      </c>
      <c r="B52" s="24" t="n">
        <f aca="false">SUMIFS(Band_TimeSeries!$G$2:$G$721,Band_TimeSeries!$A$2:$A$721,2013,Band_TimeSeries!$B$2:$B$721,3)</f>
        <v>0.0733700466752498</v>
      </c>
      <c r="C52" s="24" t="n">
        <f aca="false">SUMIFS(Band_TimeSeries!$G$2:$G$721,Band_TimeSeries!$A$2:$A$721,2013,Band_TimeSeries!$B$2:$B$721,7)</f>
        <v>-0.0624979581557588</v>
      </c>
      <c r="D52" s="25" t="n">
        <f aca="false">B52-C52</f>
        <v>0.135868004831009</v>
      </c>
      <c r="E52" s="26" t="s">
        <v>69</v>
      </c>
    </row>
    <row r="53" customFormat="false" ht="15" hidden="false" customHeight="false" outlineLevel="0" collapsed="false">
      <c r="A53" s="19" t="n">
        <v>2015</v>
      </c>
      <c r="B53" s="20" t="n">
        <f aca="false">SUMIFS(Band_TimeSeries!$G$2:$G$721,Band_TimeSeries!$A$2:$A$721,2014,Band_TimeSeries!$B$2:$B$721,3)</f>
        <v>-0.0333275689958344</v>
      </c>
      <c r="C53" s="20" t="n">
        <f aca="false">SUMIFS(Band_TimeSeries!$G$2:$G$721,Band_TimeSeries!$A$2:$A$721,2014,Band_TimeSeries!$B$2:$B$721,7)</f>
        <v>0.0279803266216557</v>
      </c>
      <c r="D53" s="21" t="n">
        <f aca="false">B53-C53</f>
        <v>-0.0613078956174901</v>
      </c>
      <c r="E53" s="22" t="s">
        <v>68</v>
      </c>
    </row>
    <row r="54" customFormat="false" ht="15" hidden="false" customHeight="false" outlineLevel="0" collapsed="false">
      <c r="A54" s="23" t="n">
        <v>2016</v>
      </c>
      <c r="B54" s="24" t="n">
        <f aca="false">SUMIFS(Band_TimeSeries!$G$2:$G$721,Band_TimeSeries!$A$2:$A$721,2015,Band_TimeSeries!$B$2:$B$721,3)</f>
        <v>-0.0111662919647558</v>
      </c>
      <c r="C54" s="24" t="n">
        <f aca="false">SUMIFS(Band_TimeSeries!$G$2:$G$721,Band_TimeSeries!$A$2:$A$721,2015,Band_TimeSeries!$B$2:$B$721,7)</f>
        <v>0.049653541539668</v>
      </c>
      <c r="D54" s="25" t="n">
        <f aca="false">B54-C54</f>
        <v>-0.0608198335044238</v>
      </c>
      <c r="E54" s="26" t="s">
        <v>69</v>
      </c>
    </row>
    <row r="55" customFormat="false" ht="15" hidden="false" customHeight="false" outlineLevel="0" collapsed="false">
      <c r="A55" s="15" t="n">
        <v>2017</v>
      </c>
      <c r="B55" s="16" t="n">
        <f aca="false">SUMIFS(Band_TimeSeries!$G$2:$G$721,Band_TimeSeries!$A$2:$A$721,2016,Band_TimeSeries!$B$2:$B$721,3)</f>
        <v>0.0827743779154051</v>
      </c>
      <c r="C55" s="16" t="n">
        <f aca="false">SUMIFS(Band_TimeSeries!$G$2:$G$721,Band_TimeSeries!$A$2:$A$721,2016,Band_TimeSeries!$B$2:$B$721,7)</f>
        <v>-0.0682017756375771</v>
      </c>
      <c r="D55" s="17" t="n">
        <f aca="false">B55-C55</f>
        <v>0.150976153552982</v>
      </c>
      <c r="E55" s="18" t="s">
        <v>67</v>
      </c>
    </row>
    <row r="56" customFormat="false" ht="15" hidden="false" customHeight="false" outlineLevel="0" collapsed="false">
      <c r="A56" s="19" t="n">
        <v>2018</v>
      </c>
      <c r="B56" s="20" t="n">
        <f aca="false">SUMIFS(Band_TimeSeries!$G$2:$G$721,Band_TimeSeries!$A$2:$A$721,2017,Band_TimeSeries!$B$2:$B$721,3)</f>
        <v>-0.0225814297899193</v>
      </c>
      <c r="C56" s="20" t="n">
        <f aca="false">SUMIFS(Band_TimeSeries!$G$2:$G$721,Band_TimeSeries!$A$2:$A$721,2017,Band_TimeSeries!$B$2:$B$721,7)</f>
        <v>0.00845785761651181</v>
      </c>
      <c r="D56" s="21" t="n">
        <f aca="false">B56-C56</f>
        <v>-0.0310392874064311</v>
      </c>
      <c r="E56" s="22" t="s">
        <v>68</v>
      </c>
    </row>
    <row r="57" customFormat="false" ht="15" hidden="false" customHeight="false" outlineLevel="0" collapsed="false">
      <c r="A57" s="23" t="n">
        <v>2019</v>
      </c>
      <c r="B57" s="24" t="n">
        <f aca="false">SUMIFS(Band_TimeSeries!$G$2:$G$721,Band_TimeSeries!$A$2:$A$721,2018,Band_TimeSeries!$B$2:$B$721,3)</f>
        <v>-0.00852544063325589</v>
      </c>
      <c r="C57" s="24" t="n">
        <f aca="false">SUMIFS(Band_TimeSeries!$G$2:$G$721,Band_TimeSeries!$A$2:$A$721,2018,Band_TimeSeries!$B$2:$B$721,7)</f>
        <v>0.0223727024114216</v>
      </c>
      <c r="D57" s="25" t="n">
        <f aca="false">B57-C57</f>
        <v>-0.0308981430446775</v>
      </c>
      <c r="E57" s="26" t="s">
        <v>69</v>
      </c>
    </row>
    <row r="58" customFormat="false" ht="15" hidden="false" customHeight="false" outlineLevel="0" collapsed="false">
      <c r="A58" s="23" t="n">
        <v>2020</v>
      </c>
      <c r="B58" s="24" t="n">
        <f aca="false">SUMIFS(Band_TimeSeries!$G$2:$G$721,Band_TimeSeries!$A$2:$A$721,2019,Band_TimeSeries!$B$2:$B$721,3)</f>
        <v>0.00342872572881955</v>
      </c>
      <c r="C58" s="24" t="n">
        <f aca="false">SUMIFS(Band_TimeSeries!$G$2:$G$721,Band_TimeSeries!$A$2:$A$721,2019,Band_TimeSeries!$B$2:$B$721,7)</f>
        <v>0.0528977774301316</v>
      </c>
      <c r="D58" s="25" t="n">
        <f aca="false">B58-C58</f>
        <v>-0.049469051701312</v>
      </c>
      <c r="E58" s="26" t="s">
        <v>69</v>
      </c>
    </row>
    <row r="59" customFormat="false" ht="15" hidden="false" customHeight="false" outlineLevel="0" collapsed="false">
      <c r="A59" s="15" t="n">
        <v>2021</v>
      </c>
      <c r="B59" s="16" t="n">
        <f aca="false">SUMIFS(Band_TimeSeries!$G$2:$G$721,Band_TimeSeries!$A$2:$A$721,2020,Band_TimeSeries!$B$2:$B$721,3)</f>
        <v>0.155299624673675</v>
      </c>
      <c r="C59" s="16" t="n">
        <f aca="false">SUMIFS(Band_TimeSeries!$G$2:$G$721,Band_TimeSeries!$A$2:$A$721,2020,Band_TimeSeries!$B$2:$B$721,7)</f>
        <v>-0.142292004120871</v>
      </c>
      <c r="D59" s="17" t="n">
        <f aca="false">B59-C59</f>
        <v>0.297591628794546</v>
      </c>
      <c r="E59" s="18" t="s">
        <v>67</v>
      </c>
    </row>
    <row r="60" customFormat="false" ht="15" hidden="false" customHeight="false" outlineLevel="0" collapsed="false">
      <c r="A60" s="23" t="n">
        <v>2022</v>
      </c>
      <c r="B60" s="24" t="n">
        <f aca="false">SUMIFS(Band_TimeSeries!$G$2:$G$721,Band_TimeSeries!$A$2:$A$721,2021,Band_TimeSeries!$B$2:$B$721,3)</f>
        <v>-0.00127216350328012</v>
      </c>
      <c r="C60" s="24" t="n">
        <f aca="false">SUMIFS(Band_TimeSeries!$G$2:$G$721,Band_TimeSeries!$A$2:$A$721,2021,Band_TimeSeries!$B$2:$B$721,7)</f>
        <v>-0.0597110718596848</v>
      </c>
      <c r="D60" s="25" t="n">
        <f aca="false">B60-C60</f>
        <v>0.0584389083564047</v>
      </c>
      <c r="E60" s="26" t="s">
        <v>69</v>
      </c>
    </row>
    <row r="61" customFormat="false" ht="15" hidden="false" customHeight="false" outlineLevel="0" collapsed="false">
      <c r="A61" s="27" t="n">
        <v>2026</v>
      </c>
      <c r="B61" s="28" t="n">
        <v>-0.0436104299939613</v>
      </c>
      <c r="C61" s="28" t="n">
        <v>0.0159520869839638</v>
      </c>
      <c r="D61" s="29" t="n">
        <f aca="false">B61-C61</f>
        <v>-0.0595625169779251</v>
      </c>
      <c r="E61" s="30" t="s">
        <v>70</v>
      </c>
    </row>
    <row r="63" customFormat="false" ht="15" hidden="false" customHeight="false" outlineLevel="0" collapsed="false">
      <c r="A63" s="31" t="s">
        <v>71</v>
      </c>
    </row>
    <row r="64" customFormat="false" ht="15" hidden="false" customHeight="false" outlineLevel="0" collapsed="false">
      <c r="A64" s="11" t="s">
        <v>72</v>
      </c>
    </row>
    <row r="65" customFormat="false" ht="15" hidden="false" customHeight="false" outlineLevel="0" collapsed="false">
      <c r="A65" s="11" t="s">
        <v>73</v>
      </c>
    </row>
    <row r="66" customFormat="false" ht="15" hidden="false" customHeight="false" outlineLevel="0" collapsed="false">
      <c r="A66" s="11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75</v>
      </c>
    </row>
    <row r="3" customFormat="false" ht="15" hidden="false" customHeight="false" outlineLevel="0" collapsed="false">
      <c r="A3" s="4" t="s">
        <v>76</v>
      </c>
      <c r="B3" s="4" t="s">
        <v>77</v>
      </c>
      <c r="C3" s="4" t="s">
        <v>78</v>
      </c>
      <c r="D3" s="4" t="s">
        <v>79</v>
      </c>
    </row>
    <row r="4" customFormat="false" ht="15" hidden="false" customHeight="false" outlineLevel="0" collapsed="false">
      <c r="A4" s="5" t="s">
        <v>80</v>
      </c>
      <c r="B4" s="7" t="n">
        <v>0.38</v>
      </c>
      <c r="C4" s="6" t="n">
        <v>0.003</v>
      </c>
      <c r="D4" s="32" t="s">
        <v>81</v>
      </c>
    </row>
    <row r="5" customFormat="false" ht="15" hidden="false" customHeight="false" outlineLevel="0" collapsed="false">
      <c r="A5" s="5" t="s">
        <v>82</v>
      </c>
      <c r="B5" s="7" t="n">
        <v>0.36</v>
      </c>
      <c r="C5" s="6" t="n">
        <v>0.005</v>
      </c>
      <c r="D5" s="32" t="s">
        <v>83</v>
      </c>
    </row>
    <row r="6" customFormat="false" ht="15" hidden="false" customHeight="false" outlineLevel="0" collapsed="false">
      <c r="A6" s="5" t="s">
        <v>84</v>
      </c>
      <c r="B6" s="7" t="n">
        <v>0.41</v>
      </c>
      <c r="C6" s="6" t="n">
        <v>0.001</v>
      </c>
      <c r="D6" s="32" t="s">
        <v>85</v>
      </c>
    </row>
    <row r="7" customFormat="false" ht="15" hidden="false" customHeight="false" outlineLevel="0" collapsed="false">
      <c r="A7" s="5" t="s">
        <v>86</v>
      </c>
      <c r="B7" s="7" t="n">
        <v>0.23</v>
      </c>
      <c r="C7" s="6" t="n">
        <v>0.076</v>
      </c>
      <c r="D7" s="32" t="s">
        <v>87</v>
      </c>
    </row>
    <row r="8" customFormat="false" ht="15" hidden="false" customHeight="false" outlineLevel="0" collapsed="false">
      <c r="A8" s="5" t="s">
        <v>88</v>
      </c>
      <c r="B8" s="7" t="n">
        <v>-0.3</v>
      </c>
      <c r="C8" s="6" t="n">
        <v>0.021</v>
      </c>
      <c r="D8" s="32" t="s">
        <v>89</v>
      </c>
    </row>
    <row r="9" customFormat="false" ht="15" hidden="false" customHeight="false" outlineLevel="0" collapsed="false">
      <c r="A9" s="5" t="s">
        <v>90</v>
      </c>
      <c r="B9" s="7" t="n">
        <v>-0.31</v>
      </c>
      <c r="C9" s="6" t="n">
        <v>0.016</v>
      </c>
      <c r="D9" s="32" t="s">
        <v>91</v>
      </c>
    </row>
    <row r="10" customFormat="false" ht="15" hidden="false" customHeight="false" outlineLevel="0" collapsed="false">
      <c r="A10" s="5" t="s">
        <v>92</v>
      </c>
      <c r="B10" s="7" t="n">
        <v>-0.33</v>
      </c>
      <c r="C10" s="6" t="n">
        <v>0.01</v>
      </c>
      <c r="D10" s="32" t="s">
        <v>93</v>
      </c>
    </row>
    <row r="11" customFormat="false" ht="15" hidden="false" customHeight="false" outlineLevel="0" collapsed="false">
      <c r="A11" s="5" t="s">
        <v>94</v>
      </c>
      <c r="B11" s="7" t="n">
        <v>-0.47</v>
      </c>
      <c r="C11" s="6" t="n">
        <v>0.0002</v>
      </c>
      <c r="D11" s="32" t="s">
        <v>95</v>
      </c>
    </row>
    <row r="12" customFormat="false" ht="15" hidden="false" customHeight="false" outlineLevel="0" collapsed="false">
      <c r="A12" s="5" t="s">
        <v>96</v>
      </c>
      <c r="B12" s="7" t="n">
        <v>0.63</v>
      </c>
      <c r="C12" s="6" t="n">
        <v>0.0001</v>
      </c>
      <c r="D12" s="32" t="s">
        <v>97</v>
      </c>
    </row>
    <row r="13" customFormat="false" ht="15" hidden="false" customHeight="false" outlineLevel="0" collapsed="false">
      <c r="A13" s="5" t="s">
        <v>98</v>
      </c>
      <c r="B13" s="7" t="n">
        <v>0.64</v>
      </c>
      <c r="C13" s="6" t="n">
        <v>0.0001</v>
      </c>
      <c r="D13" s="32" t="s">
        <v>99</v>
      </c>
    </row>
    <row r="16" customFormat="false" ht="15" hidden="false" customHeight="false" outlineLevel="0" collapsed="false">
      <c r="A16" s="11" t="s">
        <v>100</v>
      </c>
    </row>
    <row r="17" customFormat="false" ht="15" hidden="false" customHeight="false" outlineLevel="0" collapsed="false">
      <c r="A17" s="11" t="s">
        <v>101</v>
      </c>
    </row>
    <row r="18" customFormat="false" ht="15" hidden="false" customHeight="false" outlineLevel="0" collapsed="false">
      <c r="A18" s="1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103</v>
      </c>
    </row>
    <row r="3" customFormat="false" ht="15" hidden="false" customHeight="false" outlineLevel="0" collapsed="false">
      <c r="A3" s="4" t="s">
        <v>104</v>
      </c>
      <c r="B3" s="4" t="s">
        <v>105</v>
      </c>
      <c r="C3" s="4" t="s">
        <v>106</v>
      </c>
      <c r="D3" s="4" t="s">
        <v>107</v>
      </c>
    </row>
    <row r="4" customFormat="false" ht="23.85" hidden="false" customHeight="false" outlineLevel="0" collapsed="false">
      <c r="A4" s="5" t="s">
        <v>108</v>
      </c>
      <c r="B4" s="33" t="s">
        <v>109</v>
      </c>
      <c r="C4" s="34" t="s">
        <v>110</v>
      </c>
      <c r="D4" s="32" t="s">
        <v>111</v>
      </c>
    </row>
    <row r="5" customFormat="false" ht="23.85" hidden="false" customHeight="false" outlineLevel="0" collapsed="false">
      <c r="A5" s="5" t="s">
        <v>112</v>
      </c>
      <c r="B5" s="33" t="s">
        <v>113</v>
      </c>
      <c r="C5" s="34" t="s">
        <v>114</v>
      </c>
      <c r="D5" s="32" t="s">
        <v>115</v>
      </c>
    </row>
    <row r="6" customFormat="false" ht="23.85" hidden="false" customHeight="false" outlineLevel="0" collapsed="false">
      <c r="A6" s="5" t="s">
        <v>116</v>
      </c>
      <c r="B6" s="33" t="s">
        <v>117</v>
      </c>
      <c r="C6" s="34" t="s">
        <v>118</v>
      </c>
      <c r="D6" s="32" t="s">
        <v>119</v>
      </c>
    </row>
    <row r="7" customFormat="false" ht="15" hidden="false" customHeight="false" outlineLevel="0" collapsed="false">
      <c r="A7" s="5" t="s">
        <v>120</v>
      </c>
      <c r="B7" s="33" t="s">
        <v>121</v>
      </c>
      <c r="C7" s="34" t="s">
        <v>122</v>
      </c>
      <c r="D7" s="32" t="s">
        <v>123</v>
      </c>
    </row>
    <row r="8" customFormat="false" ht="15" hidden="false" customHeight="false" outlineLevel="0" collapsed="false">
      <c r="A8" s="5" t="s">
        <v>124</v>
      </c>
      <c r="B8" s="33" t="s">
        <v>125</v>
      </c>
      <c r="C8" s="34" t="s">
        <v>126</v>
      </c>
      <c r="D8" s="32" t="s">
        <v>127</v>
      </c>
    </row>
    <row r="9" customFormat="false" ht="23.85" hidden="false" customHeight="false" outlineLevel="0" collapsed="false">
      <c r="A9" s="5" t="s">
        <v>128</v>
      </c>
      <c r="B9" s="33" t="s">
        <v>129</v>
      </c>
      <c r="C9" s="34" t="s">
        <v>130</v>
      </c>
      <c r="D9" s="32" t="s">
        <v>131</v>
      </c>
    </row>
    <row r="10" customFormat="false" ht="15" hidden="false" customHeight="false" outlineLevel="0" collapsed="false">
      <c r="A10" s="5" t="s">
        <v>132</v>
      </c>
      <c r="B10" s="33" t="s">
        <v>133</v>
      </c>
      <c r="C10" s="34" t="s">
        <v>134</v>
      </c>
      <c r="D10" s="32" t="s">
        <v>135</v>
      </c>
    </row>
    <row r="11" customFormat="false" ht="23.85" hidden="false" customHeight="false" outlineLevel="0" collapsed="false">
      <c r="A11" s="5" t="s">
        <v>136</v>
      </c>
      <c r="B11" s="33" t="s">
        <v>137</v>
      </c>
      <c r="C11" s="34" t="s">
        <v>138</v>
      </c>
      <c r="D11" s="32" t="s">
        <v>139</v>
      </c>
    </row>
    <row r="13" customFormat="false" ht="15" hidden="false" customHeight="false" outlineLevel="0" collapsed="false">
      <c r="A13" s="11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2026-07-08T12:42:21Z</dcterms:created>
  <dc:creator>openpyxl</dc:creator>
  <dc:description/>
  <dc:language>en-US</dc:language>
  <cp:lastModifiedBy/>
  <dcterms:modified xsi:type="dcterms:W3CDTF">2026-07-08T12:42:21Z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